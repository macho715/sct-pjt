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minky\Downloads\sct pjt\"/>
    </mc:Choice>
  </mc:AlternateContent>
  <xr:revisionPtr revIDLastSave="0" documentId="8_{44799FD3-344F-4694-9C8B-D64DDF4D9737}" xr6:coauthVersionLast="47" xr6:coauthVersionMax="47" xr10:uidLastSave="{00000000-0000-0000-0000-000000000000}"/>
  <bookViews>
    <workbookView xWindow="-98" yWindow="-98" windowWidth="21795" windowHeight="13875" xr2:uid="{D7295486-6DB6-4326-BA73-F37F1D0740F7}"/>
  </bookViews>
  <sheets>
    <sheet name="Schedule_Data_Option_A" sheetId="1" r:id="rId1"/>
    <sheet name="Schedule_Data_Option_B" sheetId="2" r:id="rId2"/>
  </sheets>
  <externalReferences>
    <externalReference r:id="rId3"/>
  </externalReferences>
  <definedNames>
    <definedName name="DUR_BUF">[1]Control_Panel!$E15</definedName>
    <definedName name="DUR_JD">[1]Control_Panel!$E13</definedName>
    <definedName name="DUR_MOB">[1]Control_Panel!$E5</definedName>
    <definedName name="DUR_SAIL">[1]Control_Panel!$E10</definedName>
    <definedName name="DUR_TURN">[1]Control_Panel!$E12</definedName>
    <definedName name="DUR_UL">[1]Control_Panel!$E11</definedName>
    <definedName name="PROJECT_START">[1]Control_Panel!$B$4</definedName>
    <definedName name="TARGET_END">[1]Control_Panel!$B$5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5" i="2" l="1"/>
  <c r="F125" i="2"/>
  <c r="G125" i="2" s="1"/>
  <c r="H124" i="2"/>
  <c r="F124" i="2"/>
  <c r="G124" i="2" s="1"/>
  <c r="F123" i="2"/>
  <c r="G123" i="2" s="1"/>
  <c r="F122" i="2"/>
  <c r="G122" i="2" s="1"/>
  <c r="H121" i="2"/>
  <c r="F121" i="2"/>
  <c r="G121" i="2" s="1"/>
  <c r="H120" i="2"/>
  <c r="F120" i="2"/>
  <c r="G120" i="2" s="1"/>
  <c r="H119" i="2"/>
  <c r="F119" i="2"/>
  <c r="G119" i="2" s="1"/>
  <c r="H118" i="2"/>
  <c r="G118" i="2"/>
  <c r="F118" i="2"/>
  <c r="H117" i="2"/>
  <c r="F117" i="2"/>
  <c r="G117" i="2" s="1"/>
  <c r="H116" i="2"/>
  <c r="F116" i="2"/>
  <c r="G116" i="2" s="1"/>
  <c r="F115" i="2"/>
  <c r="G115" i="2" s="1"/>
  <c r="F114" i="2"/>
  <c r="G114" i="2" s="1"/>
  <c r="F113" i="2"/>
  <c r="G113" i="2" s="1"/>
  <c r="H112" i="2"/>
  <c r="F112" i="2"/>
  <c r="G112" i="2" s="1"/>
  <c r="H111" i="2"/>
  <c r="F111" i="2"/>
  <c r="G111" i="2" s="1"/>
  <c r="F110" i="2"/>
  <c r="G110" i="2" s="1"/>
  <c r="H109" i="2"/>
  <c r="F109" i="2"/>
  <c r="G109" i="2" s="1"/>
  <c r="H108" i="2"/>
  <c r="F108" i="2"/>
  <c r="G108" i="2" s="1"/>
  <c r="H107" i="2"/>
  <c r="F107" i="2"/>
  <c r="G107" i="2" s="1"/>
  <c r="H106" i="2"/>
  <c r="F106" i="2"/>
  <c r="G106" i="2" s="1"/>
  <c r="H105" i="2"/>
  <c r="F105" i="2"/>
  <c r="G105" i="2" s="1"/>
  <c r="F104" i="2"/>
  <c r="G104" i="2" s="1"/>
  <c r="F103" i="2"/>
  <c r="G103" i="2" s="1"/>
  <c r="H102" i="2"/>
  <c r="F102" i="2"/>
  <c r="G102" i="2" s="1"/>
  <c r="H101" i="2"/>
  <c r="F101" i="2"/>
  <c r="G101" i="2" s="1"/>
  <c r="F100" i="2"/>
  <c r="G100" i="2" s="1"/>
  <c r="F99" i="2"/>
  <c r="G99" i="2" s="1"/>
  <c r="H98" i="2"/>
  <c r="F98" i="2"/>
  <c r="G98" i="2" s="1"/>
  <c r="H97" i="2"/>
  <c r="F97" i="2"/>
  <c r="G97" i="2" s="1"/>
  <c r="H96" i="2"/>
  <c r="F96" i="2"/>
  <c r="G96" i="2" s="1"/>
  <c r="H95" i="2"/>
  <c r="F95" i="2"/>
  <c r="G95" i="2" s="1"/>
  <c r="H94" i="2"/>
  <c r="F94" i="2"/>
  <c r="G94" i="2" s="1"/>
  <c r="H93" i="2"/>
  <c r="F93" i="2"/>
  <c r="G93" i="2" s="1"/>
  <c r="H92" i="2"/>
  <c r="F92" i="2"/>
  <c r="G92" i="2" s="1"/>
  <c r="F91" i="2"/>
  <c r="G91" i="2" s="1"/>
  <c r="F90" i="2"/>
  <c r="G90" i="2" s="1"/>
  <c r="F89" i="2"/>
  <c r="G89" i="2" s="1"/>
  <c r="F88" i="2"/>
  <c r="G88" i="2" s="1"/>
  <c r="F87" i="2"/>
  <c r="G87" i="2" s="1"/>
  <c r="H86" i="2"/>
  <c r="F86" i="2"/>
  <c r="G86" i="2" s="1"/>
  <c r="F85" i="2"/>
  <c r="G85" i="2" s="1"/>
  <c r="F84" i="2"/>
  <c r="G84" i="2" s="1"/>
  <c r="F83" i="2"/>
  <c r="G83" i="2" s="1"/>
  <c r="H82" i="2"/>
  <c r="F82" i="2"/>
  <c r="G82" i="2" s="1"/>
  <c r="H81" i="2"/>
  <c r="F81" i="2"/>
  <c r="G81" i="2" s="1"/>
  <c r="F80" i="2"/>
  <c r="G80" i="2" s="1"/>
  <c r="H79" i="2"/>
  <c r="F79" i="2"/>
  <c r="G79" i="2" s="1"/>
  <c r="H78" i="2"/>
  <c r="F78" i="2"/>
  <c r="G78" i="2" s="1"/>
  <c r="H77" i="2"/>
  <c r="F77" i="2"/>
  <c r="G77" i="2" s="1"/>
  <c r="H76" i="2"/>
  <c r="F76" i="2"/>
  <c r="G76" i="2" s="1"/>
  <c r="H75" i="2"/>
  <c r="F75" i="2"/>
  <c r="G75" i="2" s="1"/>
  <c r="F74" i="2"/>
  <c r="G74" i="2" s="1"/>
  <c r="F73" i="2"/>
  <c r="G73" i="2" s="1"/>
  <c r="H72" i="2"/>
  <c r="F72" i="2"/>
  <c r="G72" i="2" s="1"/>
  <c r="H71" i="2"/>
  <c r="F71" i="2"/>
  <c r="G71" i="2" s="1"/>
  <c r="F70" i="2"/>
  <c r="G70" i="2" s="1"/>
  <c r="F69" i="2"/>
  <c r="G69" i="2" s="1"/>
  <c r="H68" i="2"/>
  <c r="F68" i="2"/>
  <c r="G68" i="2" s="1"/>
  <c r="H67" i="2"/>
  <c r="G67" i="2" s="1"/>
  <c r="F67" i="2"/>
  <c r="H66" i="2"/>
  <c r="G66" i="2"/>
  <c r="F66" i="2"/>
  <c r="H65" i="2"/>
  <c r="F65" i="2"/>
  <c r="G65" i="2" s="1"/>
  <c r="H64" i="2"/>
  <c r="F64" i="2"/>
  <c r="G64" i="2" s="1"/>
  <c r="H63" i="2"/>
  <c r="F63" i="2"/>
  <c r="G63" i="2" s="1"/>
  <c r="H62" i="2"/>
  <c r="F62" i="2"/>
  <c r="G62" i="2" s="1"/>
  <c r="F61" i="2"/>
  <c r="G61" i="2" s="1"/>
  <c r="F60" i="2"/>
  <c r="G60" i="2" s="1"/>
  <c r="F59" i="2"/>
  <c r="G59" i="2" s="1"/>
  <c r="F58" i="2"/>
  <c r="G58" i="2" s="1"/>
  <c r="F57" i="2"/>
  <c r="G57" i="2" s="1"/>
  <c r="H56" i="2"/>
  <c r="F56" i="2"/>
  <c r="G56" i="2" s="1"/>
  <c r="F55" i="2"/>
  <c r="G55" i="2" s="1"/>
  <c r="F54" i="2"/>
  <c r="G54" i="2" s="1"/>
  <c r="F53" i="2"/>
  <c r="G53" i="2" s="1"/>
  <c r="H52" i="2"/>
  <c r="F52" i="2"/>
  <c r="G52" i="2" s="1"/>
  <c r="H51" i="2"/>
  <c r="F51" i="2"/>
  <c r="G51" i="2" s="1"/>
  <c r="F50" i="2"/>
  <c r="G50" i="2" s="1"/>
  <c r="H49" i="2"/>
  <c r="F49" i="2"/>
  <c r="G49" i="2" s="1"/>
  <c r="H48" i="2"/>
  <c r="G48" i="2"/>
  <c r="F48" i="2"/>
  <c r="H47" i="2"/>
  <c r="F47" i="2"/>
  <c r="G47" i="2" s="1"/>
  <c r="H46" i="2"/>
  <c r="F46" i="2"/>
  <c r="G46" i="2" s="1"/>
  <c r="H45" i="2"/>
  <c r="F45" i="2"/>
  <c r="G45" i="2" s="1"/>
  <c r="F44" i="2"/>
  <c r="G44" i="2" s="1"/>
  <c r="F43" i="2"/>
  <c r="G43" i="2" s="1"/>
  <c r="H42" i="2"/>
  <c r="F42" i="2"/>
  <c r="G42" i="2" s="1"/>
  <c r="H41" i="2"/>
  <c r="F41" i="2"/>
  <c r="G41" i="2" s="1"/>
  <c r="F40" i="2"/>
  <c r="G40" i="2" s="1"/>
  <c r="F39" i="2"/>
  <c r="G39" i="2" s="1"/>
  <c r="H38" i="2"/>
  <c r="F38" i="2"/>
  <c r="G38" i="2" s="1"/>
  <c r="H37" i="2"/>
  <c r="F37" i="2"/>
  <c r="G37" i="2" s="1"/>
  <c r="H36" i="2"/>
  <c r="F36" i="2"/>
  <c r="G36" i="2" s="1"/>
  <c r="H35" i="2"/>
  <c r="F35" i="2"/>
  <c r="G35" i="2" s="1"/>
  <c r="H34" i="2"/>
  <c r="F34" i="2"/>
  <c r="G34" i="2" s="1"/>
  <c r="H33" i="2"/>
  <c r="F33" i="2"/>
  <c r="G33" i="2" s="1"/>
  <c r="H32" i="2"/>
  <c r="F32" i="2"/>
  <c r="G32" i="2" s="1"/>
  <c r="F31" i="2"/>
  <c r="G31" i="2" s="1"/>
  <c r="F30" i="2"/>
  <c r="G30" i="2" s="1"/>
  <c r="G29" i="2"/>
  <c r="F29" i="2"/>
  <c r="H28" i="2"/>
  <c r="F28" i="2"/>
  <c r="G28" i="2" s="1"/>
  <c r="H27" i="2"/>
  <c r="F27" i="2"/>
  <c r="G27" i="2" s="1"/>
  <c r="F26" i="2"/>
  <c r="G26" i="2" s="1"/>
  <c r="F25" i="2"/>
  <c r="G25" i="2" s="1"/>
  <c r="F24" i="2"/>
  <c r="G24" i="2" s="1"/>
  <c r="F23" i="2"/>
  <c r="G23" i="2" s="1"/>
  <c r="H22" i="2"/>
  <c r="F22" i="2"/>
  <c r="G22" i="2" s="1"/>
  <c r="H21" i="2"/>
  <c r="F21" i="2"/>
  <c r="G21" i="2" s="1"/>
  <c r="F20" i="2"/>
  <c r="G20" i="2" s="1"/>
  <c r="H19" i="2"/>
  <c r="F19" i="2"/>
  <c r="G19" i="2" s="1"/>
  <c r="H18" i="2"/>
  <c r="F18" i="2"/>
  <c r="G18" i="2" s="1"/>
  <c r="F17" i="2"/>
  <c r="G17" i="2" s="1"/>
  <c r="F16" i="2"/>
  <c r="G16" i="2" s="1"/>
  <c r="H15" i="2"/>
  <c r="F15" i="2"/>
  <c r="G15" i="2" s="1"/>
  <c r="H14" i="2"/>
  <c r="F14" i="2"/>
  <c r="G14" i="2" s="1"/>
  <c r="H13" i="2"/>
  <c r="F13" i="2"/>
  <c r="G13" i="2" s="1"/>
  <c r="H12" i="2"/>
  <c r="F12" i="2"/>
  <c r="G12" i="2" s="1"/>
  <c r="H11" i="2"/>
  <c r="F11" i="2"/>
  <c r="G11" i="2" s="1"/>
  <c r="H10" i="2"/>
  <c r="F10" i="2"/>
  <c r="G10" i="2" s="1"/>
  <c r="F9" i="2"/>
  <c r="G9" i="2" s="1"/>
  <c r="H8" i="2"/>
  <c r="F8" i="2"/>
  <c r="G8" i="2" s="1"/>
  <c r="H7" i="2"/>
  <c r="F7" i="2"/>
  <c r="G7" i="2" s="1"/>
  <c r="H6" i="2"/>
  <c r="F6" i="2"/>
  <c r="G6" i="2" s="1"/>
  <c r="H5" i="2"/>
  <c r="F5" i="2"/>
  <c r="G5" i="2" s="1"/>
  <c r="H4" i="2"/>
  <c r="F4" i="2"/>
  <c r="G4" i="2" s="1"/>
  <c r="H3" i="2"/>
  <c r="F3" i="2"/>
  <c r="G3" i="2" s="1"/>
  <c r="F2" i="2"/>
  <c r="G2" i="2" s="1"/>
  <c r="H126" i="1"/>
  <c r="F126" i="1"/>
  <c r="G126" i="1" s="1"/>
  <c r="H125" i="1"/>
  <c r="F125" i="1"/>
  <c r="G125" i="1" s="1"/>
  <c r="H124" i="1"/>
  <c r="F124" i="1"/>
  <c r="G124" i="1" s="1"/>
  <c r="G123" i="1"/>
  <c r="F123" i="1"/>
  <c r="F122" i="1"/>
  <c r="G122" i="1" s="1"/>
  <c r="H121" i="1"/>
  <c r="F121" i="1"/>
  <c r="G121" i="1" s="1"/>
  <c r="H120" i="1"/>
  <c r="F120" i="1"/>
  <c r="G120" i="1" s="1"/>
  <c r="H119" i="1"/>
  <c r="F119" i="1"/>
  <c r="G119" i="1" s="1"/>
  <c r="H118" i="1"/>
  <c r="F118" i="1"/>
  <c r="G118" i="1" s="1"/>
  <c r="H117" i="1"/>
  <c r="F117" i="1"/>
  <c r="G117" i="1" s="1"/>
  <c r="H116" i="1"/>
  <c r="F116" i="1"/>
  <c r="G116" i="1" s="1"/>
  <c r="F115" i="1"/>
  <c r="G115" i="1" s="1"/>
  <c r="F114" i="1"/>
  <c r="G114" i="1" s="1"/>
  <c r="F113" i="1"/>
  <c r="G113" i="1" s="1"/>
  <c r="H112" i="1"/>
  <c r="F112" i="1"/>
  <c r="G112" i="1" s="1"/>
  <c r="F111" i="1"/>
  <c r="G111" i="1" s="1"/>
  <c r="H110" i="1"/>
  <c r="F110" i="1"/>
  <c r="G110" i="1" s="1"/>
  <c r="H109" i="1"/>
  <c r="F109" i="1"/>
  <c r="G109" i="1" s="1"/>
  <c r="H108" i="1"/>
  <c r="F108" i="1"/>
  <c r="G108" i="1" s="1"/>
  <c r="F107" i="1"/>
  <c r="G107" i="1" s="1"/>
  <c r="F106" i="1"/>
  <c r="G106" i="1" s="1"/>
  <c r="H105" i="1"/>
  <c r="F105" i="1"/>
  <c r="G105" i="1" s="1"/>
  <c r="H104" i="1"/>
  <c r="F104" i="1"/>
  <c r="G104" i="1" s="1"/>
  <c r="F103" i="1"/>
  <c r="G103" i="1" s="1"/>
  <c r="F102" i="1"/>
  <c r="G102" i="1" s="1"/>
  <c r="H101" i="1"/>
  <c r="F101" i="1"/>
  <c r="G101" i="1" s="1"/>
  <c r="H100" i="1"/>
  <c r="F100" i="1"/>
  <c r="G100" i="1" s="1"/>
  <c r="H99" i="1"/>
  <c r="F99" i="1"/>
  <c r="G99" i="1" s="1"/>
  <c r="H98" i="1"/>
  <c r="F98" i="1"/>
  <c r="G98" i="1" s="1"/>
  <c r="H97" i="1"/>
  <c r="F97" i="1"/>
  <c r="G97" i="1" s="1"/>
  <c r="H96" i="1"/>
  <c r="F96" i="1"/>
  <c r="G96" i="1" s="1"/>
  <c r="F95" i="1"/>
  <c r="G95" i="1" s="1"/>
  <c r="H94" i="1"/>
  <c r="F94" i="1"/>
  <c r="G94" i="1" s="1"/>
  <c r="F93" i="1"/>
  <c r="G93" i="1" s="1"/>
  <c r="G92" i="1"/>
  <c r="F92" i="1"/>
  <c r="F91" i="1"/>
  <c r="G91" i="1" s="1"/>
  <c r="H90" i="1"/>
  <c r="F90" i="1"/>
  <c r="G90" i="1" s="1"/>
  <c r="H89" i="1"/>
  <c r="F89" i="1"/>
  <c r="G89" i="1" s="1"/>
  <c r="F88" i="1"/>
  <c r="G88" i="1" s="1"/>
  <c r="F87" i="1"/>
  <c r="G87" i="1" s="1"/>
  <c r="F86" i="1"/>
  <c r="G86" i="1" s="1"/>
  <c r="H85" i="1"/>
  <c r="F85" i="1"/>
  <c r="G85" i="1" s="1"/>
  <c r="F84" i="1"/>
  <c r="G84" i="1" s="1"/>
  <c r="H83" i="1"/>
  <c r="F83" i="1"/>
  <c r="G83" i="1" s="1"/>
  <c r="H82" i="1"/>
  <c r="G82" i="1"/>
  <c r="F82" i="1"/>
  <c r="H81" i="1"/>
  <c r="F81" i="1"/>
  <c r="G81" i="1" s="1"/>
  <c r="F80" i="1"/>
  <c r="G80" i="1" s="1"/>
  <c r="F79" i="1"/>
  <c r="G79" i="1" s="1"/>
  <c r="H78" i="1"/>
  <c r="G78" i="1" s="1"/>
  <c r="F78" i="1"/>
  <c r="H77" i="1"/>
  <c r="F77" i="1"/>
  <c r="G77" i="1" s="1"/>
  <c r="F76" i="1"/>
  <c r="G76" i="1" s="1"/>
  <c r="F75" i="1"/>
  <c r="G75" i="1" s="1"/>
  <c r="H74" i="1"/>
  <c r="F74" i="1"/>
  <c r="G74" i="1" s="1"/>
  <c r="H73" i="1"/>
  <c r="F73" i="1"/>
  <c r="G73" i="1" s="1"/>
  <c r="H72" i="1"/>
  <c r="F72" i="1"/>
  <c r="G72" i="1" s="1"/>
  <c r="H71" i="1"/>
  <c r="F71" i="1"/>
  <c r="G71" i="1" s="1"/>
  <c r="H70" i="1"/>
  <c r="F70" i="1"/>
  <c r="G70" i="1" s="1"/>
  <c r="H69" i="1"/>
  <c r="F69" i="1"/>
  <c r="G69" i="1" s="1"/>
  <c r="F68" i="1"/>
  <c r="G68" i="1" s="1"/>
  <c r="H67" i="1"/>
  <c r="F67" i="1"/>
  <c r="G67" i="1" s="1"/>
  <c r="F66" i="1"/>
  <c r="G66" i="1" s="1"/>
  <c r="F65" i="1"/>
  <c r="G65" i="1" s="1"/>
  <c r="F64" i="1"/>
  <c r="G64" i="1" s="1"/>
  <c r="H63" i="1"/>
  <c r="F63" i="1"/>
  <c r="G63" i="1" s="1"/>
  <c r="H62" i="1"/>
  <c r="F62" i="1"/>
  <c r="G62" i="1" s="1"/>
  <c r="F61" i="1"/>
  <c r="G61" i="1" s="1"/>
  <c r="F60" i="1"/>
  <c r="G60" i="1" s="1"/>
  <c r="F59" i="1"/>
  <c r="G59" i="1" s="1"/>
  <c r="H58" i="1"/>
  <c r="F58" i="1"/>
  <c r="G58" i="1" s="1"/>
  <c r="F57" i="1"/>
  <c r="G57" i="1" s="1"/>
  <c r="H56" i="1"/>
  <c r="F56" i="1"/>
  <c r="G56" i="1" s="1"/>
  <c r="H55" i="1"/>
  <c r="F55" i="1"/>
  <c r="G55" i="1" s="1"/>
  <c r="H54" i="1"/>
  <c r="F54" i="1"/>
  <c r="G54" i="1" s="1"/>
  <c r="F53" i="1"/>
  <c r="G53" i="1" s="1"/>
  <c r="F52" i="1"/>
  <c r="G52" i="1" s="1"/>
  <c r="H51" i="1"/>
  <c r="F51" i="1"/>
  <c r="G51" i="1" s="1"/>
  <c r="H50" i="1"/>
  <c r="F50" i="1"/>
  <c r="G50" i="1" s="1"/>
  <c r="F49" i="1"/>
  <c r="G49" i="1" s="1"/>
  <c r="F48" i="1"/>
  <c r="G48" i="1" s="1"/>
  <c r="H47" i="1"/>
  <c r="F47" i="1"/>
  <c r="G47" i="1" s="1"/>
  <c r="H46" i="1"/>
  <c r="F46" i="1"/>
  <c r="G46" i="1" s="1"/>
  <c r="H45" i="1"/>
  <c r="G45" i="1"/>
  <c r="F45" i="1"/>
  <c r="H44" i="1"/>
  <c r="F44" i="1"/>
  <c r="G44" i="1" s="1"/>
  <c r="H43" i="1"/>
  <c r="F43" i="1"/>
  <c r="G43" i="1" s="1"/>
  <c r="H42" i="1"/>
  <c r="F42" i="1"/>
  <c r="G42" i="1" s="1"/>
  <c r="H41" i="1"/>
  <c r="F41" i="1"/>
  <c r="G41" i="1" s="1"/>
  <c r="F40" i="1"/>
  <c r="G40" i="1" s="1"/>
  <c r="H39" i="1"/>
  <c r="F39" i="1"/>
  <c r="G39" i="1" s="1"/>
  <c r="F38" i="1"/>
  <c r="G38" i="1" s="1"/>
  <c r="F37" i="1"/>
  <c r="G37" i="1" s="1"/>
  <c r="F36" i="1"/>
  <c r="G36" i="1" s="1"/>
  <c r="H35" i="1"/>
  <c r="F35" i="1"/>
  <c r="G35" i="1" s="1"/>
  <c r="H34" i="1"/>
  <c r="F34" i="1"/>
  <c r="G34" i="1" s="1"/>
  <c r="F33" i="1"/>
  <c r="G33" i="1" s="1"/>
  <c r="F32" i="1"/>
  <c r="G32" i="1" s="1"/>
  <c r="F31" i="1"/>
  <c r="G31" i="1" s="1"/>
  <c r="F30" i="1"/>
  <c r="G30" i="1" s="1"/>
  <c r="H29" i="1"/>
  <c r="F29" i="1"/>
  <c r="G29" i="1" s="1"/>
  <c r="H28" i="1"/>
  <c r="F28" i="1"/>
  <c r="G28" i="1" s="1"/>
  <c r="F27" i="1"/>
  <c r="G27" i="1" s="1"/>
  <c r="H26" i="1"/>
  <c r="F26" i="1"/>
  <c r="G26" i="1" s="1"/>
  <c r="H25" i="1"/>
  <c r="F25" i="1"/>
  <c r="G25" i="1" s="1"/>
  <c r="H24" i="1"/>
  <c r="F24" i="1"/>
  <c r="G24" i="1" s="1"/>
  <c r="H23" i="1"/>
  <c r="F23" i="1"/>
  <c r="G23" i="1" s="1"/>
  <c r="H22" i="1"/>
  <c r="F22" i="1"/>
  <c r="G22" i="1" s="1"/>
  <c r="H21" i="1"/>
  <c r="F21" i="1"/>
  <c r="G21" i="1" s="1"/>
  <c r="H20" i="1"/>
  <c r="F20" i="1"/>
  <c r="G20" i="1" s="1"/>
  <c r="F19" i="1"/>
  <c r="G19" i="1" s="1"/>
  <c r="F18" i="1"/>
  <c r="G18" i="1" s="1"/>
  <c r="H17" i="1"/>
  <c r="F17" i="1"/>
  <c r="G17" i="1" s="1"/>
  <c r="H16" i="1"/>
  <c r="F16" i="1"/>
  <c r="G16" i="1" s="1"/>
  <c r="H15" i="1"/>
  <c r="F15" i="1"/>
  <c r="G15" i="1" s="1"/>
  <c r="H14" i="1"/>
  <c r="F14" i="1"/>
  <c r="G14" i="1" s="1"/>
  <c r="H13" i="1"/>
  <c r="G13" i="1"/>
  <c r="F13" i="1"/>
  <c r="H12" i="1"/>
  <c r="F12" i="1"/>
  <c r="G12" i="1" s="1"/>
  <c r="F11" i="1"/>
  <c r="G11" i="1" s="1"/>
  <c r="F10" i="1"/>
  <c r="G10" i="1" s="1"/>
  <c r="H9" i="1"/>
  <c r="F9" i="1"/>
  <c r="G9" i="1" s="1"/>
  <c r="H8" i="1"/>
  <c r="F8" i="1"/>
  <c r="G8" i="1" s="1"/>
  <c r="H7" i="1"/>
  <c r="F7" i="1"/>
  <c r="G7" i="1" s="1"/>
  <c r="H6" i="1"/>
  <c r="F6" i="1"/>
  <c r="G6" i="1" s="1"/>
  <c r="H5" i="1"/>
  <c r="F5" i="1"/>
  <c r="G5" i="1" s="1"/>
  <c r="H4" i="1"/>
  <c r="F4" i="1"/>
  <c r="G4" i="1" s="1"/>
  <c r="G3" i="1"/>
  <c r="F3" i="1"/>
  <c r="F2" i="1"/>
  <c r="G2" i="1" s="1"/>
</calcChain>
</file>

<file path=xl/sharedStrings.xml><?xml version="1.0" encoding="utf-8"?>
<sst xmlns="http://schemas.openxmlformats.org/spreadsheetml/2006/main" count="1263" uniqueCount="354">
  <si>
    <t>ID</t>
  </si>
  <si>
    <t>WBS</t>
  </si>
  <si>
    <t>Task</t>
  </si>
  <si>
    <t>Phase</t>
  </si>
  <si>
    <t>Owner</t>
  </si>
  <si>
    <t>Start</t>
  </si>
  <si>
    <t>End</t>
  </si>
  <si>
    <t>Duration</t>
  </si>
  <si>
    <t>Notes</t>
  </si>
  <si>
    <t>MOB-001</t>
  </si>
  <si>
    <t>A0</t>
  </si>
  <si>
    <t>MOBILIZATION</t>
  </si>
  <si>
    <t>All</t>
  </si>
  <si>
    <t>SPM-001</t>
  </si>
  <si>
    <t>SPMT</t>
  </si>
  <si>
    <t>BUFFER</t>
  </si>
  <si>
    <t>A1000</t>
  </si>
  <si>
    <t>Mobilization of 1st set of SPMT; Asembly + Function Test</t>
  </si>
  <si>
    <t>A1010</t>
  </si>
  <si>
    <t>Mobilization of 2nd set of SPMT; Assembly + Function test</t>
  </si>
  <si>
    <t>MAR-002</t>
  </si>
  <si>
    <t>MARINE</t>
  </si>
  <si>
    <t>A1001</t>
  </si>
  <si>
    <t>Mobilization of Marine Equipment and Steelworks</t>
  </si>
  <si>
    <t>JAC-003</t>
  </si>
  <si>
    <t>JACKING EQUIPMENT, STEEL BRIDGE</t>
  </si>
  <si>
    <t>A2010</t>
  </si>
  <si>
    <t>Mobilization of Jacking Equipment and Steel bridge (prior LCT's arrival to AGI with TR 1&amp;2!))</t>
  </si>
  <si>
    <t>DEMOBILIZATION</t>
  </si>
  <si>
    <t>SPM-004</t>
  </si>
  <si>
    <t>A1980</t>
  </si>
  <si>
    <t>Demobilization of 2nd set of SPMT</t>
  </si>
  <si>
    <t>A1990</t>
  </si>
  <si>
    <t>Demobilization of 1st set of SPMT</t>
  </si>
  <si>
    <t>MAR-005</t>
  </si>
  <si>
    <t>A2000</t>
  </si>
  <si>
    <t>Demobilization of Marine Equipment and Steelworks</t>
  </si>
  <si>
    <t>JAC-006</t>
  </si>
  <si>
    <t>A2020</t>
  </si>
  <si>
    <t>Demobilization of Jacking Equipment and Steel bridge</t>
  </si>
  <si>
    <t>OPE-007</t>
  </si>
  <si>
    <t>OPERATIONAL</t>
  </si>
  <si>
    <t>BEA-008</t>
  </si>
  <si>
    <t>Beam Replacement</t>
  </si>
  <si>
    <t>A1002</t>
  </si>
  <si>
    <t>Beam Replacement AGI TR Unit 1 (TR Bay 4) - Two 5t forklifts required</t>
  </si>
  <si>
    <t>A1003</t>
  </si>
  <si>
    <t>Beam Replacement AGI TR Unit 2 (TR Bay 3) - Two 5t forklifts required</t>
  </si>
  <si>
    <t>A1013</t>
  </si>
  <si>
    <t>Beam Replacement AGI TR Unit 3 (TR Bay 2) - Two 5t forklifts required</t>
  </si>
  <si>
    <t>A1023</t>
  </si>
  <si>
    <t>Beam Replacement AGI TR Unit 4 (TR Bay 1) - Two 5t forklifts required</t>
  </si>
  <si>
    <t>A1033</t>
  </si>
  <si>
    <t>Beam Replacement AGI TR Unit 5 (TR Bay 5) - Two 5t forklifts required</t>
  </si>
  <si>
    <t>A1043</t>
  </si>
  <si>
    <t>Beam Replacement AGI TR Unit 6 (TR Bay 6) - Two 5t forklifts required</t>
  </si>
  <si>
    <t>A1053</t>
  </si>
  <si>
    <t>Beam Replacement AGI TR Unit 7 (TR Bay 7) - Two 5t forklifts required</t>
  </si>
  <si>
    <t>PREP-001</t>
  </si>
  <si>
    <t>Deck Preparations</t>
  </si>
  <si>
    <t>DECK_PREP</t>
  </si>
  <si>
    <t>A1004</t>
  </si>
  <si>
    <t>Deck Preparations (D-ring cutting; marking, steel sets installation) - One 5t forklift and Crane required</t>
  </si>
  <si>
    <t>A1005</t>
  </si>
  <si>
    <t>Deck Preparations (Steel sets installation, welding) - Crane Required for steel sets installation</t>
  </si>
  <si>
    <t>AGI-009</t>
  </si>
  <si>
    <t>AGI TR Units 1-2</t>
  </si>
  <si>
    <t>A1030</t>
  </si>
  <si>
    <t>Loading of AGI TR Unit 1 on SPMT; lashing; Shifting to Mina Zayed Port RoRo Jetty area</t>
  </si>
  <si>
    <t>A1040</t>
  </si>
  <si>
    <t>RoRo Ramp Installation - 5t Frokift and Crane required</t>
  </si>
  <si>
    <t>A1060</t>
  </si>
  <si>
    <t>Load-out of AGL TR Unit 1; stool down (10am-11am)</t>
  </si>
  <si>
    <t>LOADOUT</t>
  </si>
  <si>
    <t>A1070</t>
  </si>
  <si>
    <t>RoRo ramp removal; Seafastening AGL TR Unit 1 - Crane required</t>
  </si>
  <si>
    <t>SEAFAST</t>
  </si>
  <si>
    <t>A1071</t>
  </si>
  <si>
    <t>Loading of AGI TR Unit 2 on SPMT; lashing</t>
  </si>
  <si>
    <t>A1072</t>
  </si>
  <si>
    <t>Shifting of AGL TR Unit 2 to Jetty area</t>
  </si>
  <si>
    <t>A1073</t>
  </si>
  <si>
    <t>RoRo Ramp Installation - Crane required</t>
  </si>
  <si>
    <t>A1074</t>
  </si>
  <si>
    <t>Load-out of AGI TR Unit 2; stoold down; securing of SPMT (8am-9am)</t>
  </si>
  <si>
    <t>A1075</t>
  </si>
  <si>
    <t>Removal of RoRo Ramp; Sea fastening AGI TR Unit 2 - Crane required</t>
  </si>
  <si>
    <t>A1080</t>
  </si>
  <si>
    <t>MWS + MPI + Final Preparations</t>
  </si>
  <si>
    <t>A1081</t>
  </si>
  <si>
    <t>Sail-away - Marine Transportation by LCT to Al Ghallan Island</t>
  </si>
  <si>
    <t>SAIL</t>
  </si>
  <si>
    <t>A1090</t>
  </si>
  <si>
    <t>MMT Crew Mob to AGI; Site Induction; Meeting with Client</t>
  </si>
  <si>
    <t>A1091</t>
  </si>
  <si>
    <t>LCT Arrival; Berthing at AGL RoRo Jetty</t>
  </si>
  <si>
    <t>AGI_UNLOAD</t>
  </si>
  <si>
    <t>A1100</t>
  </si>
  <si>
    <t>Unlashing and cutting; steel sets preparations - Forklift required</t>
  </si>
  <si>
    <t>A1110</t>
  </si>
  <si>
    <t>Load-in of AGI TR Unit 2 (including RoRo Ramp Installation); store on Jetty - Crane required</t>
  </si>
  <si>
    <t>A1120</t>
  </si>
  <si>
    <t>Load-in of AGI TR Unit 1 (including RoRo Ramp Installation); store on Jetty - Crane required</t>
  </si>
  <si>
    <t>A1121</t>
  </si>
  <si>
    <t>LCT Sails back to MZP to collect TR Units 3-4</t>
  </si>
  <si>
    <t>A1122</t>
  </si>
  <si>
    <t>Steel bridge Installation 1 - Crane required</t>
  </si>
  <si>
    <t>A1140</t>
  </si>
  <si>
    <t>AGL TR Unit 1 (TR Bay 4) load on SPMT; lashing; Transportation and JD (steel set to be delivered to bay area by trailer)</t>
  </si>
  <si>
    <t>A1141</t>
  </si>
  <si>
    <t>Turning of AGI TR Unit 1 (TR Bay 4) - 10t Forklift required</t>
  </si>
  <si>
    <t>TURNING</t>
  </si>
  <si>
    <t>A1150</t>
  </si>
  <si>
    <t>Jacking down of AGI TR Unit 1 (TR Bay 4) on temporary support - Forklift required</t>
  </si>
  <si>
    <t>JACKDOWN</t>
  </si>
  <si>
    <t>A1160</t>
  </si>
  <si>
    <t>Steel bridge Installation 2 - Crane required</t>
  </si>
  <si>
    <t>A1170</t>
  </si>
  <si>
    <t>AGL TR Unit 2 (TR Bay 3) load on SPMT; lashing; Transportation and JD (steel set to be delivered to bay area by trailer)</t>
  </si>
  <si>
    <t>A1180</t>
  </si>
  <si>
    <t>Turning of AGI TR Unit 2 (TR Bay 3) - 10t Forklift required</t>
  </si>
  <si>
    <t>A1181</t>
  </si>
  <si>
    <t>SPMT shifting back to Port</t>
  </si>
  <si>
    <t>A1190</t>
  </si>
  <si>
    <t>Jacking down of AGI TR Unit 2 (TR Bay 3) on temporary support - Forklift and Crane required</t>
  </si>
  <si>
    <t>AGI-010</t>
  </si>
  <si>
    <t>AGI TR Units 3-4</t>
  </si>
  <si>
    <t>A1200</t>
  </si>
  <si>
    <t>LCT arrives to MZP; Deck preparations</t>
  </si>
  <si>
    <t>A1210</t>
  </si>
  <si>
    <t>Loading of AGI TR Unit 3 on SPMT; lashing; Shifting to Mina Zayed Port RoRo Jetty area</t>
  </si>
  <si>
    <t>A1220</t>
  </si>
  <si>
    <t>A1230</t>
  </si>
  <si>
    <t>Load-out of AGL TR Unit 3; stool down</t>
  </si>
  <si>
    <t>A1240</t>
  </si>
  <si>
    <t>RoRo ramp removal; Seafastening AGL TR Unit 3 - Crane required</t>
  </si>
  <si>
    <t>A1250</t>
  </si>
  <si>
    <t>Loading of AGI TR Unit 4 on SPMT; lashing</t>
  </si>
  <si>
    <t>A1260</t>
  </si>
  <si>
    <t>Shifting of AGL TR Unit 4 to Jetty area</t>
  </si>
  <si>
    <t>A1270</t>
  </si>
  <si>
    <t>A1280</t>
  </si>
  <si>
    <t>Load-out of AGI TR Unit 4; stoold down; securing of SPMT</t>
  </si>
  <si>
    <t>A1290</t>
  </si>
  <si>
    <t>Removal of RoRo Ramp; Sea fastening AGI TR Unit 4 - Crane required</t>
  </si>
  <si>
    <t>A1300</t>
  </si>
  <si>
    <t>A1310</t>
  </si>
  <si>
    <t>A1320</t>
  </si>
  <si>
    <t>A1330</t>
  </si>
  <si>
    <t>A1340</t>
  </si>
  <si>
    <t>Load-in of AGI TR Unit 4 (including RoRo Ramp Installation); store on Jetty - Crane required</t>
  </si>
  <si>
    <t>A1350</t>
  </si>
  <si>
    <t>Load-in of AGI TR Unit 3 (including RoRo Ramp Installation); store on Jetty - Crane required</t>
  </si>
  <si>
    <t>A1360</t>
  </si>
  <si>
    <t>LCT Sails back to MZP to collect TR Units 5-6 (LCT must carry back 4pcs of 7.45m beams)</t>
  </si>
  <si>
    <t>A1370</t>
  </si>
  <si>
    <t>A1380</t>
  </si>
  <si>
    <t>AGL TR Unit 3 (TR Bay 2) load on SPMT; lashing; Transportation and JD (steel set to be delivered to bay area by trailer)</t>
  </si>
  <si>
    <t>A1390</t>
  </si>
  <si>
    <t>Turning of AGI TR Unit 3 (TR Bay 2) - 10t Forklift required</t>
  </si>
  <si>
    <t>A1400</t>
  </si>
  <si>
    <t>Jacking down of AGI TR Unit 3 (TR Bay 2) on temporary support - Forklift required</t>
  </si>
  <si>
    <t>A1410</t>
  </si>
  <si>
    <t>A1420</t>
  </si>
  <si>
    <t>AGL TR Unit 4 (TR Bay 1) load on SPMT; lashing; Transportation and JD (steel set to be delivered to bay area by trailer)</t>
  </si>
  <si>
    <t>A1430</t>
  </si>
  <si>
    <t>Turning of AGI TR Unit 4 (TR Bay 1) - 10t Forklift required</t>
  </si>
  <si>
    <t>A1440</t>
  </si>
  <si>
    <t>A1450</t>
  </si>
  <si>
    <t>Jacking down of AGI TR Unit 4 (TR Bay 1) on temporary support - Forklift and Crane required</t>
  </si>
  <si>
    <t>AGI-011</t>
  </si>
  <si>
    <t>AGI TR Units 5-6</t>
  </si>
  <si>
    <t>A1460</t>
  </si>
  <si>
    <t>A1470</t>
  </si>
  <si>
    <t>Loading of AGI TR Unit 5 on SPMT; lashing; Shifting to Mina Zayed Port RoRo Jetty area</t>
  </si>
  <si>
    <t>A1480</t>
  </si>
  <si>
    <t>A1490</t>
  </si>
  <si>
    <t>Load-out of AGL TR Unit 5; stool down</t>
  </si>
  <si>
    <t>A1500</t>
  </si>
  <si>
    <t>RoRo ramp removal; Seafastening AGL TR Unit 5 - Crane required</t>
  </si>
  <si>
    <t>A1510</t>
  </si>
  <si>
    <t>Loading of AGI TR Unit 6 on SPMT; lashing</t>
  </si>
  <si>
    <t>A1520</t>
  </si>
  <si>
    <t>Shifting of AGL TR Unit 6 to Jetty area</t>
  </si>
  <si>
    <t>A1530</t>
  </si>
  <si>
    <t>A1540</t>
  </si>
  <si>
    <t>Load-out of AGI TR Unit 6; stoold down; securing of SPMT</t>
  </si>
  <si>
    <t>A1550</t>
  </si>
  <si>
    <t>Removal of RoRo Ramp; Sea fastening AGI TR Unit 6 - Crane required</t>
  </si>
  <si>
    <t>A1560</t>
  </si>
  <si>
    <t>A1570</t>
  </si>
  <si>
    <t>A1580</t>
  </si>
  <si>
    <t>A1590</t>
  </si>
  <si>
    <t>A1600</t>
  </si>
  <si>
    <t>Load-in of AGI TR Unit 6 (including RoRo Ramp Installation); store on Jetty - Crane required</t>
  </si>
  <si>
    <t>A1610</t>
  </si>
  <si>
    <t>Load-in of AGI TR Unit 5 (including RoRo Ramp Installation); store on Jetty - Crane required</t>
  </si>
  <si>
    <t>A1620</t>
  </si>
  <si>
    <t>LCT Sails back to MZP to collect TR Unit 7 (LCT must carry back 2pcs of 7.45m beams)</t>
  </si>
  <si>
    <t>A1630</t>
  </si>
  <si>
    <t>A1640</t>
  </si>
  <si>
    <t>AGL TR Unit 5 (TR Bay 5) load on SPMT; lashing; Transportation and JD (steel set to be delivered to bay area by trailer)</t>
  </si>
  <si>
    <t>A1650</t>
  </si>
  <si>
    <t>Turning of AGI TR Unit 5 (TR Bay 5) - 10t Forklift required</t>
  </si>
  <si>
    <t>A1660</t>
  </si>
  <si>
    <t>Jacking down of AGI TR Unit 5 (TR Bay 5) on temporary support - Forklift required</t>
  </si>
  <si>
    <t>A1670</t>
  </si>
  <si>
    <t>A1680</t>
  </si>
  <si>
    <t>AGL TR Unit 6 (TR Bay 6) load on SPMT; lashing; Transportation and JD (steel set to be delivered to bay area by trailer)</t>
  </si>
  <si>
    <t>A1690</t>
  </si>
  <si>
    <t>Turning of AGI TR Unit 6 (TR Bay 6) - 10t Forklift required</t>
  </si>
  <si>
    <t>A1700</t>
  </si>
  <si>
    <t>A1710</t>
  </si>
  <si>
    <t>Jacking down of AGI TR Unit 6 (TR Bay 6) on temporary support - Forklift and Crane required</t>
  </si>
  <si>
    <t>AGI-012</t>
  </si>
  <si>
    <t>AGI TR Unit 7</t>
  </si>
  <si>
    <t>A1720</t>
  </si>
  <si>
    <t>A1730</t>
  </si>
  <si>
    <t>Loading of AGI TR Unit 7 on SPMT; lashing; Shifting to Mina Zayed Port RoRo Jetty area</t>
  </si>
  <si>
    <t>A1740</t>
  </si>
  <si>
    <t>A1750</t>
  </si>
  <si>
    <t>Load-out of AGL TR Unit 7; stool down</t>
  </si>
  <si>
    <t>A1760</t>
  </si>
  <si>
    <t>RoRo ramp removal; Seafastening AGL TR Unit 7 - Crane required</t>
  </si>
  <si>
    <t>A1820</t>
  </si>
  <si>
    <t>A1830</t>
  </si>
  <si>
    <t>A1840</t>
  </si>
  <si>
    <t>A1850</t>
  </si>
  <si>
    <t>A1860</t>
  </si>
  <si>
    <t>Load-in of AGI TR Unit 7 (including RoRo Ramp Installation); store on Jetty - Crane required</t>
  </si>
  <si>
    <t>A1890</t>
  </si>
  <si>
    <t>Steel bridge Installation - Crane required</t>
  </si>
  <si>
    <t>A1900</t>
  </si>
  <si>
    <t>AGL TR Unit 7 (TR Bay 7) load on SPMT; lashing; Transportation and JD (steel set to be delivered to bay area by trailer)</t>
  </si>
  <si>
    <t>A1910</t>
  </si>
  <si>
    <t>Turning of AGI TR Unit 7 (TR Bay 7) - 10t Forklift required</t>
  </si>
  <si>
    <t>A1920</t>
  </si>
  <si>
    <t>Jacking down of AGI TR Unit 7 (TR Bay 7) on temporary support - Forklift required</t>
  </si>
  <si>
    <t>A1960</t>
  </si>
  <si>
    <t>Mobilization of SPMTs; Asembly + Function Test</t>
  </si>
  <si>
    <t>JACKING</t>
  </si>
  <si>
    <t>Mobilization of Jacking Equipment, steel bridge, welfare container</t>
  </si>
  <si>
    <t>Demobilization of SPMT</t>
  </si>
  <si>
    <t>Demobilization of Marine Equipment</t>
  </si>
  <si>
    <t>Demobilization of Jacking Equipment, Steel bridge, Welfare Container</t>
  </si>
  <si>
    <t>BEA-009</t>
  </si>
  <si>
    <t>BEA-010</t>
  </si>
  <si>
    <t>LOA-012</t>
  </si>
  <si>
    <t>ROR-013</t>
  </si>
  <si>
    <t>LOA-014</t>
  </si>
  <si>
    <t>Load-out of AGL TR Unit 1; stool down</t>
  </si>
  <si>
    <t>ROR-015</t>
  </si>
  <si>
    <t>LOA-016</t>
  </si>
  <si>
    <t>SHI-017</t>
  </si>
  <si>
    <t>ROR-018</t>
  </si>
  <si>
    <t>LOA-019</t>
  </si>
  <si>
    <t>Load-out of AGI TR Unit 2; stoold down; securing of SPMT</t>
  </si>
  <si>
    <t>REM-020</t>
  </si>
  <si>
    <t>MWS-021</t>
  </si>
  <si>
    <t>MWS + MPI + Final Preparations + Sail-away - Marine Transportation by LCT to Al Ghallan Island</t>
  </si>
  <si>
    <t>MMT-022</t>
  </si>
  <si>
    <t>LCT-023</t>
  </si>
  <si>
    <t>UNL-024</t>
  </si>
  <si>
    <t>LOA-025</t>
  </si>
  <si>
    <t>LOA-026</t>
  </si>
  <si>
    <t>STE-027</t>
  </si>
  <si>
    <t>AGL-028</t>
  </si>
  <si>
    <t>TUR-029</t>
  </si>
  <si>
    <t>JAC-030</t>
  </si>
  <si>
    <t>STE-031</t>
  </si>
  <si>
    <t>AGL-032</t>
  </si>
  <si>
    <t>TUR-033</t>
  </si>
  <si>
    <t>JAC-034</t>
  </si>
  <si>
    <t>SPM-035</t>
  </si>
  <si>
    <t>SPMT shiifting from TR Bay Area to Jetty; Loading on LCT (if tide allows)</t>
  </si>
  <si>
    <t>LCT Sail-away back to Mina Zayed Port; MMT SPMT Crew Demobilization</t>
  </si>
  <si>
    <t>MMT Jacking Crew Demobilization</t>
  </si>
  <si>
    <t>AGI-036</t>
  </si>
  <si>
    <t>LCT Arrives to MZP; Deck Preparations</t>
  </si>
  <si>
    <t>BEA-037</t>
  </si>
  <si>
    <t>Beam Replacement for TR Unit 3</t>
  </si>
  <si>
    <t>LOA-038</t>
  </si>
  <si>
    <t>ROR-039</t>
  </si>
  <si>
    <t>LOA-040</t>
  </si>
  <si>
    <t>ROR-041</t>
  </si>
  <si>
    <t>BEA-042</t>
  </si>
  <si>
    <t>Beam replacement for TR Unit 4</t>
  </si>
  <si>
    <t>LOA-043</t>
  </si>
  <si>
    <t>SHI-044</t>
  </si>
  <si>
    <t>ROR-045</t>
  </si>
  <si>
    <t>LOA-046</t>
  </si>
  <si>
    <t>REM-047</t>
  </si>
  <si>
    <t>MWS-048</t>
  </si>
  <si>
    <t>MMT-049</t>
  </si>
  <si>
    <t>LCT-050</t>
  </si>
  <si>
    <t>UNL-051</t>
  </si>
  <si>
    <t>LOA-052</t>
  </si>
  <si>
    <t>LOA-053</t>
  </si>
  <si>
    <t>STE-054</t>
  </si>
  <si>
    <t>AGL-055</t>
  </si>
  <si>
    <t>TUR-056</t>
  </si>
  <si>
    <t>JAC-057</t>
  </si>
  <si>
    <t>STE-058</t>
  </si>
  <si>
    <t>AGL-059</t>
  </si>
  <si>
    <t>TUR-060</t>
  </si>
  <si>
    <t>JAC-061</t>
  </si>
  <si>
    <t>SPM-062</t>
  </si>
  <si>
    <t>AGL-063</t>
  </si>
  <si>
    <t>AGLI TR Units 5-6</t>
  </si>
  <si>
    <t>BEA-064</t>
  </si>
  <si>
    <t>Beam Replacement for TR Unit 5</t>
  </si>
  <si>
    <t>LOA-065</t>
  </si>
  <si>
    <t>ROR-066</t>
  </si>
  <si>
    <t>LOA-067</t>
  </si>
  <si>
    <t>ROR-068</t>
  </si>
  <si>
    <t>BEA-069</t>
  </si>
  <si>
    <t>Beam replacement for TR Unit 6</t>
  </si>
  <si>
    <t>LOA-070</t>
  </si>
  <si>
    <t>SHI-071</t>
  </si>
  <si>
    <t>ROR-072</t>
  </si>
  <si>
    <t>LOA-073</t>
  </si>
  <si>
    <t>REM-074</t>
  </si>
  <si>
    <t>MWS-075</t>
  </si>
  <si>
    <t>MMT-076</t>
  </si>
  <si>
    <t>LCT-077</t>
  </si>
  <si>
    <t>UNL-078</t>
  </si>
  <si>
    <t>LOA-079</t>
  </si>
  <si>
    <t>LOA-080</t>
  </si>
  <si>
    <t>STE-081</t>
  </si>
  <si>
    <t>AGL-082</t>
  </si>
  <si>
    <t>TUR-083</t>
  </si>
  <si>
    <t>JAC-084</t>
  </si>
  <si>
    <t>STE-085</t>
  </si>
  <si>
    <t>AGL-086</t>
  </si>
  <si>
    <t>TUR-087</t>
  </si>
  <si>
    <t>JAC-088</t>
  </si>
  <si>
    <t>SPM-089</t>
  </si>
  <si>
    <t>AGL-090</t>
  </si>
  <si>
    <t>AGL TR Unit 7</t>
  </si>
  <si>
    <t>BEA-091</t>
  </si>
  <si>
    <t>Beam Replacement for TR Unit 7</t>
  </si>
  <si>
    <t>LOA-092</t>
  </si>
  <si>
    <t>ROR-093</t>
  </si>
  <si>
    <t>LOA-094</t>
  </si>
  <si>
    <t>ROR-095</t>
  </si>
  <si>
    <t>MWS-096</t>
  </si>
  <si>
    <t>MMT-097</t>
  </si>
  <si>
    <t>LCT-098</t>
  </si>
  <si>
    <t>UNL-099</t>
  </si>
  <si>
    <t>LOA-100</t>
  </si>
  <si>
    <t>STE-101</t>
  </si>
  <si>
    <t>AGL-102</t>
  </si>
  <si>
    <t>TUR-103</t>
  </si>
  <si>
    <t>JAC-104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</si>
</sst>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yyyy\-mm\-dd"/>
  </numFmts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rgb="FFB71C1C"/>
      <name val="맑은 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8E7CC3"/>
      </patternFill>
    </fill>
    <fill>
      <patternFill patternType="solid">
        <fgColor rgb="FFD9D9D9"/>
      </patternFill>
    </fill>
    <fill>
      <patternFill patternType="solid">
        <fgColor rgb="FF6FA8DC"/>
      </patternFill>
    </fill>
    <fill>
      <patternFill patternType="solid">
        <fgColor rgb="FF93C47D"/>
      </patternFill>
    </fill>
    <fill>
      <patternFill patternType="solid">
        <fgColor rgb="FF76A5AF"/>
      </patternFill>
    </fill>
    <fill>
      <patternFill patternType="solid">
        <fgColor rgb="FFA4C2F4"/>
      </patternFill>
    </fill>
    <fill>
      <patternFill patternType="solid">
        <fgColor rgb="FFF6B26B"/>
      </patternFill>
    </fill>
    <fill>
      <patternFill patternType="solid">
        <fgColor rgb="FFFFD966"/>
      </patternFill>
    </fill>
    <fill>
      <patternFill patternType="solid">
        <fgColor rgb="FFE06666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176" fontId="0" fillId="0" borderId="1" xfId="0" applyNumberFormat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3" fillId="0" borderId="1" xfId="0" applyFont="1" applyBorder="1"/>
    <xf numFmtId="0" fontId="3" fillId="11" borderId="1" xfId="0" applyFont="1" applyFill="1" applyBorder="1"/>
    <xf numFmtId="176" fontId="3" fillId="0" borderId="1" xfId="0" applyNumberFormat="1" applyFont="1" applyBorder="1"/>
  </cellXfs>
  <cellStyles count="1">
    <cellStyle name="표준" xfId="0" builtinId="0"/>
  </cellStyles>
  <dxfs count="0"/>
  <tableStyles count="1" defaultTableStyle="TableStyleMedium2" defaultPivotStyle="PivotStyleLight16">
    <tableStyle name="Invisible" pivot="0" table="0" count="0" xr9:uid="{5523B6DC-2AB2-4FD5-979A-B8F5DCBB7DB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nky\AppData\Local\Temp\MicrosoftEdgeDownloads\e134e3c4-b105-44b0-8732-4e04f48f4686\AGI_TR_MultiScenario_Master_Gantt_VBA_PATCHED_20260116.xlsx" TargetMode="External"/><Relationship Id="rId1" Type="http://schemas.openxmlformats.org/officeDocument/2006/relationships/externalLinkPath" Target="/Users/minky/AppData/Local/Temp/MicrosoftEdgeDownloads/e134e3c4-b105-44b0-8732-4e04f48f4686/AGI_TR_MultiScenario_Master_Gantt_VBA_PATCHED_202601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ol_Panel"/>
      <sheetName val="Schedule_Data_Option_A"/>
      <sheetName val="Gantt_Chart_Option_A"/>
      <sheetName val="Schedule_Data_Option_B"/>
      <sheetName val="Gantt_Chart_Option_B"/>
      <sheetName val="Weather_Analysis"/>
      <sheetName val="Summary"/>
      <sheetName val="VBA_Code"/>
      <sheetName val="Schedule_Compare_AB"/>
    </sheetNames>
    <sheetDataSet>
      <sheetData sheetId="0">
        <row r="4">
          <cell r="B4">
            <v>46040</v>
          </cell>
        </row>
        <row r="5">
          <cell r="B5">
            <v>46081</v>
          </cell>
        </row>
        <row r="8">
          <cell r="E8">
            <v>0.5</v>
          </cell>
        </row>
        <row r="9">
          <cell r="E9">
            <v>0.5</v>
          </cell>
        </row>
        <row r="12">
          <cell r="E12">
            <v>3</v>
          </cell>
        </row>
        <row r="13">
          <cell r="E13">
            <v>1</v>
          </cell>
        </row>
        <row r="14">
          <cell r="E14">
            <v>1</v>
          </cell>
        </row>
        <row r="15">
          <cell r="E15">
            <v>0.5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2C243-0E25-4A3C-B257-10E2B4CA1EC2}">
  <sheetPr codeName="Sheet2"/>
  <dimension ref="A1:I126"/>
  <sheetViews>
    <sheetView tabSelected="1" workbookViewId="0">
      <pane ySplit="1" topLeftCell="A2" activePane="bottomLeft" state="frozen"/>
      <selection sqref="A1:XFD4"/>
      <selection pane="bottomLeft" sqref="A1:XFD4"/>
    </sheetView>
  </sheetViews>
  <sheetFormatPr defaultRowHeight="16.899999999999999" x14ac:dyDescent="0.6"/>
  <cols>
    <col min="1" max="1" width="10" customWidth="1"/>
    <col min="2" max="2" width="6" customWidth="1"/>
    <col min="3" max="3" width="38" customWidth="1"/>
    <col min="4" max="5" width="14" customWidth="1"/>
    <col min="6" max="7" width="12" customWidth="1"/>
    <col min="8" max="8" width="10" customWidth="1"/>
    <col min="9" max="9" width="40" customWidth="1"/>
  </cols>
  <sheetData>
    <row r="1" spans="1:9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6">
      <c r="A2" s="2" t="s">
        <v>9</v>
      </c>
      <c r="B2" s="2" t="s">
        <v>10</v>
      </c>
      <c r="C2" s="2" t="s">
        <v>11</v>
      </c>
      <c r="D2" s="3" t="s">
        <v>11</v>
      </c>
      <c r="E2" s="2" t="s">
        <v>12</v>
      </c>
      <c r="F2" s="4">
        <f>PROJECT_START+8</f>
        <v>46048</v>
      </c>
      <c r="G2" s="4">
        <f t="shared" ref="G2:G65" si="0">F2+H2</f>
        <v>46058</v>
      </c>
      <c r="H2" s="2">
        <v>10</v>
      </c>
      <c r="I2" s="2"/>
    </row>
    <row r="3" spans="1:9" x14ac:dyDescent="0.6">
      <c r="A3" s="2" t="s">
        <v>13</v>
      </c>
      <c r="B3" s="2" t="s">
        <v>10</v>
      </c>
      <c r="C3" s="2" t="s">
        <v>14</v>
      </c>
      <c r="D3" s="5" t="s">
        <v>15</v>
      </c>
      <c r="E3" s="2" t="s">
        <v>12</v>
      </c>
      <c r="F3" s="4">
        <f>PROJECT_START+8</f>
        <v>46048</v>
      </c>
      <c r="G3" s="4">
        <f t="shared" si="0"/>
        <v>46058</v>
      </c>
      <c r="H3" s="2">
        <v>10</v>
      </c>
      <c r="I3" s="2"/>
    </row>
    <row r="4" spans="1:9" x14ac:dyDescent="0.6">
      <c r="A4" s="2" t="s">
        <v>16</v>
      </c>
      <c r="B4" s="2" t="s">
        <v>10</v>
      </c>
      <c r="C4" s="2" t="s">
        <v>17</v>
      </c>
      <c r="D4" s="3" t="s">
        <v>11</v>
      </c>
      <c r="E4" s="2" t="s">
        <v>12</v>
      </c>
      <c r="F4" s="4">
        <f>PROJECT_START+8</f>
        <v>46048</v>
      </c>
      <c r="G4" s="4">
        <f t="shared" si="0"/>
        <v>46048.5</v>
      </c>
      <c r="H4" s="2">
        <f>DUR_MOB</f>
        <v>0.5</v>
      </c>
      <c r="I4" s="2"/>
    </row>
    <row r="5" spans="1:9" x14ac:dyDescent="0.6">
      <c r="A5" s="2" t="s">
        <v>18</v>
      </c>
      <c r="B5" s="2" t="s">
        <v>10</v>
      </c>
      <c r="C5" s="2" t="s">
        <v>19</v>
      </c>
      <c r="D5" s="3" t="s">
        <v>11</v>
      </c>
      <c r="E5" s="2" t="s">
        <v>12</v>
      </c>
      <c r="F5" s="4">
        <f>PROJECT_START+17</f>
        <v>46057</v>
      </c>
      <c r="G5" s="4">
        <f t="shared" si="0"/>
        <v>46057.5</v>
      </c>
      <c r="H5" s="2">
        <f>DUR_MOB</f>
        <v>0.5</v>
      </c>
      <c r="I5" s="2"/>
    </row>
    <row r="6" spans="1:9" x14ac:dyDescent="0.6">
      <c r="A6" s="2" t="s">
        <v>20</v>
      </c>
      <c r="B6" s="2" t="s">
        <v>10</v>
      </c>
      <c r="C6" s="2" t="s">
        <v>21</v>
      </c>
      <c r="D6" s="5" t="s">
        <v>15</v>
      </c>
      <c r="E6" s="2" t="s">
        <v>12</v>
      </c>
      <c r="F6" s="4">
        <f>PROJECT_START+8</f>
        <v>46048</v>
      </c>
      <c r="G6" s="4">
        <f t="shared" si="0"/>
        <v>46048</v>
      </c>
      <c r="H6" s="2">
        <f>DUR_BUF</f>
        <v>0</v>
      </c>
      <c r="I6" s="2"/>
    </row>
    <row r="7" spans="1:9" x14ac:dyDescent="0.6">
      <c r="A7" s="2" t="s">
        <v>22</v>
      </c>
      <c r="B7" s="2" t="s">
        <v>10</v>
      </c>
      <c r="C7" s="2" t="s">
        <v>23</v>
      </c>
      <c r="D7" s="3" t="s">
        <v>11</v>
      </c>
      <c r="E7" s="2" t="s">
        <v>12</v>
      </c>
      <c r="F7" s="4">
        <f>PROJECT_START+8</f>
        <v>46048</v>
      </c>
      <c r="G7" s="4">
        <f t="shared" si="0"/>
        <v>46048</v>
      </c>
      <c r="H7" s="2">
        <f>DUR_BUF</f>
        <v>0</v>
      </c>
      <c r="I7" s="2"/>
    </row>
    <row r="8" spans="1:9" x14ac:dyDescent="0.6">
      <c r="A8" s="2" t="s">
        <v>24</v>
      </c>
      <c r="B8" s="2" t="s">
        <v>10</v>
      </c>
      <c r="C8" s="2" t="s">
        <v>25</v>
      </c>
      <c r="D8" s="5" t="s">
        <v>15</v>
      </c>
      <c r="E8" s="2" t="s">
        <v>12</v>
      </c>
      <c r="F8" s="4">
        <f>PROJECT_START+11</f>
        <v>46051</v>
      </c>
      <c r="G8" s="4">
        <f t="shared" si="0"/>
        <v>46051</v>
      </c>
      <c r="H8" s="2">
        <f>DUR_BUF</f>
        <v>0</v>
      </c>
      <c r="I8" s="2"/>
    </row>
    <row r="9" spans="1:9" x14ac:dyDescent="0.6">
      <c r="A9" s="2" t="s">
        <v>26</v>
      </c>
      <c r="B9" s="2" t="s">
        <v>10</v>
      </c>
      <c r="C9" s="2" t="s">
        <v>27</v>
      </c>
      <c r="D9" s="3" t="s">
        <v>11</v>
      </c>
      <c r="E9" s="2" t="s">
        <v>12</v>
      </c>
      <c r="F9" s="4">
        <f>PROJECT_START+11</f>
        <v>46051</v>
      </c>
      <c r="G9" s="4">
        <f t="shared" si="0"/>
        <v>46052</v>
      </c>
      <c r="H9" s="2">
        <f>DUR_MOB</f>
        <v>1</v>
      </c>
      <c r="I9" s="2"/>
    </row>
    <row r="10" spans="1:9" x14ac:dyDescent="0.6">
      <c r="A10" s="2" t="s">
        <v>9</v>
      </c>
      <c r="B10" s="2" t="s">
        <v>10</v>
      </c>
      <c r="C10" s="2" t="s">
        <v>28</v>
      </c>
      <c r="D10" s="3" t="s">
        <v>11</v>
      </c>
      <c r="E10" s="2" t="s">
        <v>12</v>
      </c>
      <c r="F10" s="4">
        <f>PROJECT_START+40</f>
        <v>46080</v>
      </c>
      <c r="G10" s="4">
        <f t="shared" si="0"/>
        <v>46090</v>
      </c>
      <c r="H10" s="2">
        <v>10</v>
      </c>
      <c r="I10" s="2"/>
    </row>
    <row r="11" spans="1:9" x14ac:dyDescent="0.6">
      <c r="A11" s="2" t="s">
        <v>29</v>
      </c>
      <c r="B11" s="2" t="s">
        <v>10</v>
      </c>
      <c r="C11" s="2" t="s">
        <v>14</v>
      </c>
      <c r="D11" s="5" t="s">
        <v>15</v>
      </c>
      <c r="E11" s="2" t="s">
        <v>12</v>
      </c>
      <c r="F11" s="4">
        <f>PROJECT_START+40</f>
        <v>46080</v>
      </c>
      <c r="G11" s="4">
        <f t="shared" si="0"/>
        <v>46088.5</v>
      </c>
      <c r="H11" s="2">
        <v>8.5</v>
      </c>
      <c r="I11" s="2"/>
    </row>
    <row r="12" spans="1:9" x14ac:dyDescent="0.6">
      <c r="A12" s="2" t="s">
        <v>30</v>
      </c>
      <c r="B12" s="2" t="s">
        <v>10</v>
      </c>
      <c r="C12" s="2" t="s">
        <v>31</v>
      </c>
      <c r="D12" s="3" t="s">
        <v>11</v>
      </c>
      <c r="E12" s="2" t="s">
        <v>12</v>
      </c>
      <c r="F12" s="4">
        <f>PROJECT_START+40</f>
        <v>46080</v>
      </c>
      <c r="G12" s="4">
        <f t="shared" si="0"/>
        <v>46080</v>
      </c>
      <c r="H12" s="2">
        <f>DUR_MOB</f>
        <v>0</v>
      </c>
      <c r="I12" s="2"/>
    </row>
    <row r="13" spans="1:9" x14ac:dyDescent="0.6">
      <c r="A13" s="2" t="s">
        <v>32</v>
      </c>
      <c r="B13" s="2" t="s">
        <v>10</v>
      </c>
      <c r="C13" s="2" t="s">
        <v>33</v>
      </c>
      <c r="D13" s="3" t="s">
        <v>11</v>
      </c>
      <c r="E13" s="2" t="s">
        <v>12</v>
      </c>
      <c r="F13" s="4">
        <f>PROJECT_START+47</f>
        <v>46087</v>
      </c>
      <c r="G13" s="4">
        <f t="shared" si="0"/>
        <v>46087</v>
      </c>
      <c r="H13" s="2">
        <f>DUR_MOB</f>
        <v>0</v>
      </c>
      <c r="I13" s="2"/>
    </row>
    <row r="14" spans="1:9" x14ac:dyDescent="0.6">
      <c r="A14" s="2" t="s">
        <v>34</v>
      </c>
      <c r="B14" s="2" t="s">
        <v>10</v>
      </c>
      <c r="C14" s="2" t="s">
        <v>21</v>
      </c>
      <c r="D14" s="5" t="s">
        <v>15</v>
      </c>
      <c r="E14" s="2" t="s">
        <v>12</v>
      </c>
      <c r="F14" s="4">
        <f>PROJECT_START+49</f>
        <v>46089</v>
      </c>
      <c r="G14" s="4">
        <f t="shared" si="0"/>
        <v>46089</v>
      </c>
      <c r="H14" s="2">
        <f>DUR_BUF</f>
        <v>0</v>
      </c>
      <c r="I14" s="2"/>
    </row>
    <row r="15" spans="1:9" x14ac:dyDescent="0.6">
      <c r="A15" s="2" t="s">
        <v>35</v>
      </c>
      <c r="B15" s="2" t="s">
        <v>10</v>
      </c>
      <c r="C15" s="2" t="s">
        <v>36</v>
      </c>
      <c r="D15" s="3" t="s">
        <v>11</v>
      </c>
      <c r="E15" s="2" t="s">
        <v>12</v>
      </c>
      <c r="F15" s="4">
        <f>PROJECT_START+49</f>
        <v>46089</v>
      </c>
      <c r="G15" s="4">
        <f t="shared" si="0"/>
        <v>46089</v>
      </c>
      <c r="H15" s="2">
        <f>DUR_MOB</f>
        <v>0</v>
      </c>
      <c r="I15" s="2"/>
    </row>
    <row r="16" spans="1:9" x14ac:dyDescent="0.6">
      <c r="A16" s="2" t="s">
        <v>37</v>
      </c>
      <c r="B16" s="2" t="s">
        <v>10</v>
      </c>
      <c r="C16" s="2" t="s">
        <v>25</v>
      </c>
      <c r="D16" s="5" t="s">
        <v>15</v>
      </c>
      <c r="E16" s="2" t="s">
        <v>12</v>
      </c>
      <c r="F16" s="4">
        <f>PROJECT_START+49</f>
        <v>46089</v>
      </c>
      <c r="G16" s="4">
        <f t="shared" si="0"/>
        <v>46089</v>
      </c>
      <c r="H16" s="2">
        <f>DUR_BUF</f>
        <v>0</v>
      </c>
      <c r="I16" s="2"/>
    </row>
    <row r="17" spans="1:9" x14ac:dyDescent="0.6">
      <c r="A17" s="2" t="s">
        <v>38</v>
      </c>
      <c r="B17" s="2" t="s">
        <v>10</v>
      </c>
      <c r="C17" s="2" t="s">
        <v>39</v>
      </c>
      <c r="D17" s="3" t="s">
        <v>11</v>
      </c>
      <c r="E17" s="2" t="s">
        <v>12</v>
      </c>
      <c r="F17" s="4">
        <f>PROJECT_START+49</f>
        <v>46089</v>
      </c>
      <c r="G17" s="4">
        <f t="shared" si="0"/>
        <v>46089</v>
      </c>
      <c r="H17" s="2">
        <f>DUR_MOB</f>
        <v>0</v>
      </c>
      <c r="I17" s="2"/>
    </row>
    <row r="18" spans="1:9" x14ac:dyDescent="0.6">
      <c r="A18" s="2" t="s">
        <v>40</v>
      </c>
      <c r="B18" s="2" t="s">
        <v>10</v>
      </c>
      <c r="C18" s="2" t="s">
        <v>41</v>
      </c>
      <c r="D18" s="5" t="s">
        <v>15</v>
      </c>
      <c r="E18" s="2" t="s">
        <v>12</v>
      </c>
      <c r="F18" s="4">
        <f>PROJECT_START+9</f>
        <v>46049</v>
      </c>
      <c r="G18" s="4">
        <f t="shared" si="0"/>
        <v>46089</v>
      </c>
      <c r="H18" s="2">
        <v>40</v>
      </c>
      <c r="I18" s="2"/>
    </row>
    <row r="19" spans="1:9" x14ac:dyDescent="0.6">
      <c r="A19" s="2" t="s">
        <v>42</v>
      </c>
      <c r="B19" s="2" t="s">
        <v>10</v>
      </c>
      <c r="C19" s="2" t="s">
        <v>43</v>
      </c>
      <c r="D19" s="5" t="s">
        <v>15</v>
      </c>
      <c r="E19" s="2" t="s">
        <v>12</v>
      </c>
      <c r="F19" s="4">
        <f>PROJECT_START+9</f>
        <v>46049</v>
      </c>
      <c r="G19" s="4">
        <f t="shared" si="0"/>
        <v>46078</v>
      </c>
      <c r="H19" s="2">
        <v>29</v>
      </c>
      <c r="I19" s="2"/>
    </row>
    <row r="20" spans="1:9" x14ac:dyDescent="0.6">
      <c r="A20" s="2" t="s">
        <v>44</v>
      </c>
      <c r="B20" s="2" t="s">
        <v>10</v>
      </c>
      <c r="C20" s="2" t="s">
        <v>45</v>
      </c>
      <c r="D20" s="5" t="s">
        <v>15</v>
      </c>
      <c r="E20" s="2" t="s">
        <v>12</v>
      </c>
      <c r="F20" s="4">
        <f>PROJECT_START+9</f>
        <v>46049</v>
      </c>
      <c r="G20" s="4">
        <f t="shared" si="0"/>
        <v>46049</v>
      </c>
      <c r="H20" s="2">
        <f t="shared" ref="H20:H26" si="1">DUR_BUF</f>
        <v>0</v>
      </c>
      <c r="I20" s="2"/>
    </row>
    <row r="21" spans="1:9" x14ac:dyDescent="0.6">
      <c r="A21" s="2" t="s">
        <v>46</v>
      </c>
      <c r="B21" s="2" t="s">
        <v>10</v>
      </c>
      <c r="C21" s="2" t="s">
        <v>47</v>
      </c>
      <c r="D21" s="5" t="s">
        <v>15</v>
      </c>
      <c r="E21" s="2" t="s">
        <v>12</v>
      </c>
      <c r="F21" s="4">
        <f>PROJECT_START+10</f>
        <v>46050</v>
      </c>
      <c r="G21" s="4">
        <f t="shared" si="0"/>
        <v>46050</v>
      </c>
      <c r="H21" s="2">
        <f t="shared" si="1"/>
        <v>0</v>
      </c>
      <c r="I21" s="2"/>
    </row>
    <row r="22" spans="1:9" x14ac:dyDescent="0.6">
      <c r="A22" s="2" t="s">
        <v>48</v>
      </c>
      <c r="B22" s="2" t="s">
        <v>10</v>
      </c>
      <c r="C22" s="2" t="s">
        <v>49</v>
      </c>
      <c r="D22" s="5" t="s">
        <v>15</v>
      </c>
      <c r="E22" s="2" t="s">
        <v>12</v>
      </c>
      <c r="F22" s="4">
        <f>PROJECT_START+18</f>
        <v>46058</v>
      </c>
      <c r="G22" s="4">
        <f t="shared" si="0"/>
        <v>46058</v>
      </c>
      <c r="H22" s="2">
        <f t="shared" si="1"/>
        <v>0</v>
      </c>
      <c r="I22" s="2"/>
    </row>
    <row r="23" spans="1:9" x14ac:dyDescent="0.6">
      <c r="A23" s="2" t="s">
        <v>50</v>
      </c>
      <c r="B23" s="2" t="s">
        <v>10</v>
      </c>
      <c r="C23" s="2" t="s">
        <v>51</v>
      </c>
      <c r="D23" s="5" t="s">
        <v>15</v>
      </c>
      <c r="E23" s="2" t="s">
        <v>12</v>
      </c>
      <c r="F23" s="4">
        <f>PROJECT_START+19</f>
        <v>46059</v>
      </c>
      <c r="G23" s="4">
        <f t="shared" si="0"/>
        <v>46059</v>
      </c>
      <c r="H23" s="2">
        <f t="shared" si="1"/>
        <v>0</v>
      </c>
      <c r="I23" s="2"/>
    </row>
    <row r="24" spans="1:9" x14ac:dyDescent="0.6">
      <c r="A24" s="2" t="s">
        <v>52</v>
      </c>
      <c r="B24" s="2" t="s">
        <v>10</v>
      </c>
      <c r="C24" s="2" t="s">
        <v>53</v>
      </c>
      <c r="D24" s="5" t="s">
        <v>15</v>
      </c>
      <c r="E24" s="2" t="s">
        <v>12</v>
      </c>
      <c r="F24" s="4">
        <f>PROJECT_START+28</f>
        <v>46068</v>
      </c>
      <c r="G24" s="4">
        <f t="shared" si="0"/>
        <v>46068</v>
      </c>
      <c r="H24" s="2">
        <f t="shared" si="1"/>
        <v>0</v>
      </c>
      <c r="I24" s="2"/>
    </row>
    <row r="25" spans="1:9" x14ac:dyDescent="0.6">
      <c r="A25" s="2" t="s">
        <v>54</v>
      </c>
      <c r="B25" s="2" t="s">
        <v>10</v>
      </c>
      <c r="C25" s="2" t="s">
        <v>55</v>
      </c>
      <c r="D25" s="5" t="s">
        <v>15</v>
      </c>
      <c r="E25" s="2" t="s">
        <v>12</v>
      </c>
      <c r="F25" s="4">
        <f>PROJECT_START+29</f>
        <v>46069</v>
      </c>
      <c r="G25" s="4">
        <f t="shared" si="0"/>
        <v>46069</v>
      </c>
      <c r="H25" s="2">
        <f t="shared" si="1"/>
        <v>0</v>
      </c>
      <c r="I25" s="2"/>
    </row>
    <row r="26" spans="1:9" x14ac:dyDescent="0.6">
      <c r="A26" s="2" t="s">
        <v>56</v>
      </c>
      <c r="B26" s="2" t="s">
        <v>10</v>
      </c>
      <c r="C26" s="2" t="s">
        <v>57</v>
      </c>
      <c r="D26" s="5" t="s">
        <v>15</v>
      </c>
      <c r="E26" s="2" t="s">
        <v>12</v>
      </c>
      <c r="F26" s="4">
        <f>PROJECT_START+37</f>
        <v>46077</v>
      </c>
      <c r="G26" s="4">
        <f t="shared" si="0"/>
        <v>46077</v>
      </c>
      <c r="H26" s="2">
        <f t="shared" si="1"/>
        <v>0</v>
      </c>
      <c r="I26" s="2"/>
    </row>
    <row r="27" spans="1:9" x14ac:dyDescent="0.6">
      <c r="A27" s="2" t="s">
        <v>58</v>
      </c>
      <c r="B27" s="2" t="s">
        <v>10</v>
      </c>
      <c r="C27" s="2" t="s">
        <v>59</v>
      </c>
      <c r="D27" s="6" t="s">
        <v>60</v>
      </c>
      <c r="E27" s="2" t="s">
        <v>12</v>
      </c>
      <c r="F27" s="4">
        <f>PROJECT_START+9</f>
        <v>46049</v>
      </c>
      <c r="G27" s="4">
        <f t="shared" si="0"/>
        <v>46051</v>
      </c>
      <c r="H27" s="2">
        <v>2</v>
      </c>
      <c r="I27" s="2"/>
    </row>
    <row r="28" spans="1:9" x14ac:dyDescent="0.6">
      <c r="A28" s="2" t="s">
        <v>61</v>
      </c>
      <c r="B28" s="2" t="s">
        <v>10</v>
      </c>
      <c r="C28" s="2" t="s">
        <v>62</v>
      </c>
      <c r="D28" s="6" t="s">
        <v>60</v>
      </c>
      <c r="E28" s="2" t="s">
        <v>12</v>
      </c>
      <c r="F28" s="4">
        <f>PROJECT_START+9</f>
        <v>46049</v>
      </c>
      <c r="G28" s="4">
        <f t="shared" si="0"/>
        <v>46049</v>
      </c>
      <c r="H28" s="2">
        <f>DUR_BUF</f>
        <v>0</v>
      </c>
      <c r="I28" s="2"/>
    </row>
    <row r="29" spans="1:9" x14ac:dyDescent="0.6">
      <c r="A29" s="2" t="s">
        <v>63</v>
      </c>
      <c r="B29" s="2" t="s">
        <v>10</v>
      </c>
      <c r="C29" s="2" t="s">
        <v>64</v>
      </c>
      <c r="D29" s="6" t="s">
        <v>60</v>
      </c>
      <c r="E29" s="2" t="s">
        <v>12</v>
      </c>
      <c r="F29" s="4">
        <f>PROJECT_START+10</f>
        <v>46050</v>
      </c>
      <c r="G29" s="4">
        <f t="shared" si="0"/>
        <v>46050</v>
      </c>
      <c r="H29" s="2">
        <f>DUR_BUF</f>
        <v>0</v>
      </c>
      <c r="I29" s="2"/>
    </row>
    <row r="30" spans="1:9" x14ac:dyDescent="0.6">
      <c r="A30" s="2" t="s">
        <v>65</v>
      </c>
      <c r="B30" s="2" t="s">
        <v>10</v>
      </c>
      <c r="C30" s="2" t="s">
        <v>66</v>
      </c>
      <c r="D30" s="5" t="s">
        <v>15</v>
      </c>
      <c r="E30" s="2" t="s">
        <v>12</v>
      </c>
      <c r="F30" s="4">
        <f t="shared" ref="F30:F35" si="2">PROJECT_START+11</f>
        <v>46051</v>
      </c>
      <c r="G30" s="4">
        <f t="shared" si="0"/>
        <v>46067</v>
      </c>
      <c r="H30" s="2">
        <v>16</v>
      </c>
      <c r="I30" s="2"/>
    </row>
    <row r="31" spans="1:9" x14ac:dyDescent="0.6">
      <c r="A31" s="2" t="s">
        <v>67</v>
      </c>
      <c r="B31" s="2" t="s">
        <v>10</v>
      </c>
      <c r="C31" s="2" t="s">
        <v>68</v>
      </c>
      <c r="D31" s="5" t="s">
        <v>15</v>
      </c>
      <c r="E31" s="2" t="s">
        <v>12</v>
      </c>
      <c r="F31" s="4">
        <f t="shared" si="2"/>
        <v>46051</v>
      </c>
      <c r="G31" s="4">
        <f t="shared" si="0"/>
        <v>46051.3</v>
      </c>
      <c r="H31" s="2">
        <v>0.3</v>
      </c>
      <c r="I31" s="2"/>
    </row>
    <row r="32" spans="1:9" x14ac:dyDescent="0.6">
      <c r="A32" s="2" t="s">
        <v>69</v>
      </c>
      <c r="B32" s="2" t="s">
        <v>10</v>
      </c>
      <c r="C32" s="2" t="s">
        <v>70</v>
      </c>
      <c r="D32" s="5" t="s">
        <v>15</v>
      </c>
      <c r="E32" s="2" t="s">
        <v>12</v>
      </c>
      <c r="F32" s="4">
        <f t="shared" si="2"/>
        <v>46051</v>
      </c>
      <c r="G32" s="4">
        <f t="shared" si="0"/>
        <v>46051.3</v>
      </c>
      <c r="H32" s="2">
        <v>0.3</v>
      </c>
      <c r="I32" s="2"/>
    </row>
    <row r="33" spans="1:9" x14ac:dyDescent="0.6">
      <c r="A33" s="2" t="s">
        <v>71</v>
      </c>
      <c r="B33" s="2" t="s">
        <v>10</v>
      </c>
      <c r="C33" s="2" t="s">
        <v>72</v>
      </c>
      <c r="D33" s="7" t="s">
        <v>73</v>
      </c>
      <c r="E33" s="2" t="s">
        <v>12</v>
      </c>
      <c r="F33" s="4">
        <f t="shared" si="2"/>
        <v>46051</v>
      </c>
      <c r="G33" s="4">
        <f t="shared" si="0"/>
        <v>46051.199999999997</v>
      </c>
      <c r="H33" s="2">
        <v>0.2</v>
      </c>
      <c r="I33" s="2"/>
    </row>
    <row r="34" spans="1:9" x14ac:dyDescent="0.6">
      <c r="A34" s="2" t="s">
        <v>74</v>
      </c>
      <c r="B34" s="2" t="s">
        <v>10</v>
      </c>
      <c r="C34" s="2" t="s">
        <v>75</v>
      </c>
      <c r="D34" s="8" t="s">
        <v>76</v>
      </c>
      <c r="E34" s="2" t="s">
        <v>12</v>
      </c>
      <c r="F34" s="4">
        <f t="shared" si="2"/>
        <v>46051</v>
      </c>
      <c r="G34" s="4">
        <f t="shared" si="0"/>
        <v>46051</v>
      </c>
      <c r="H34" s="2">
        <f>DUR_BUF</f>
        <v>0</v>
      </c>
      <c r="I34" s="2"/>
    </row>
    <row r="35" spans="1:9" x14ac:dyDescent="0.6">
      <c r="A35" s="2" t="s">
        <v>77</v>
      </c>
      <c r="B35" s="2" t="s">
        <v>10</v>
      </c>
      <c r="C35" s="2" t="s">
        <v>78</v>
      </c>
      <c r="D35" s="5" t="s">
        <v>15</v>
      </c>
      <c r="E35" s="2" t="s">
        <v>12</v>
      </c>
      <c r="F35" s="4">
        <f t="shared" si="2"/>
        <v>46051</v>
      </c>
      <c r="G35" s="4">
        <f t="shared" si="0"/>
        <v>46051</v>
      </c>
      <c r="H35" s="2">
        <f>DUR_BUF</f>
        <v>0</v>
      </c>
      <c r="I35" s="2"/>
    </row>
    <row r="36" spans="1:9" x14ac:dyDescent="0.6">
      <c r="A36" s="2" t="s">
        <v>79</v>
      </c>
      <c r="B36" s="2" t="s">
        <v>10</v>
      </c>
      <c r="C36" s="2" t="s">
        <v>80</v>
      </c>
      <c r="D36" s="5" t="s">
        <v>15</v>
      </c>
      <c r="E36" s="2" t="s">
        <v>12</v>
      </c>
      <c r="F36" s="4">
        <f>PROJECT_START+12</f>
        <v>46052</v>
      </c>
      <c r="G36" s="4">
        <f t="shared" si="0"/>
        <v>46052.05</v>
      </c>
      <c r="H36" s="2">
        <v>0.05</v>
      </c>
      <c r="I36" s="2"/>
    </row>
    <row r="37" spans="1:9" x14ac:dyDescent="0.6">
      <c r="A37" s="2" t="s">
        <v>81</v>
      </c>
      <c r="B37" s="2" t="s">
        <v>10</v>
      </c>
      <c r="C37" s="2" t="s">
        <v>82</v>
      </c>
      <c r="D37" s="5" t="s">
        <v>15</v>
      </c>
      <c r="E37" s="2" t="s">
        <v>12</v>
      </c>
      <c r="F37" s="4">
        <f>PROJECT_START+12</f>
        <v>46052</v>
      </c>
      <c r="G37" s="4">
        <f t="shared" si="0"/>
        <v>46052.3</v>
      </c>
      <c r="H37" s="2">
        <v>0.3</v>
      </c>
      <c r="I37" s="2"/>
    </row>
    <row r="38" spans="1:9" x14ac:dyDescent="0.6">
      <c r="A38" s="2" t="s">
        <v>83</v>
      </c>
      <c r="B38" s="2" t="s">
        <v>10</v>
      </c>
      <c r="C38" s="2" t="s">
        <v>84</v>
      </c>
      <c r="D38" s="7" t="s">
        <v>73</v>
      </c>
      <c r="E38" s="2" t="s">
        <v>12</v>
      </c>
      <c r="F38" s="4">
        <f>PROJECT_START+12</f>
        <v>46052</v>
      </c>
      <c r="G38" s="4">
        <f t="shared" si="0"/>
        <v>46052.3</v>
      </c>
      <c r="H38" s="2">
        <v>0.3</v>
      </c>
      <c r="I38" s="2"/>
    </row>
    <row r="39" spans="1:9" x14ac:dyDescent="0.6">
      <c r="A39" s="2" t="s">
        <v>85</v>
      </c>
      <c r="B39" s="2" t="s">
        <v>10</v>
      </c>
      <c r="C39" s="2" t="s">
        <v>86</v>
      </c>
      <c r="D39" s="8" t="s">
        <v>76</v>
      </c>
      <c r="E39" s="2" t="s">
        <v>12</v>
      </c>
      <c r="F39" s="4">
        <f>PROJECT_START+12</f>
        <v>46052</v>
      </c>
      <c r="G39" s="4">
        <f t="shared" si="0"/>
        <v>46052</v>
      </c>
      <c r="H39" s="2">
        <f>DUR_BUF</f>
        <v>0</v>
      </c>
      <c r="I39" s="2"/>
    </row>
    <row r="40" spans="1:9" x14ac:dyDescent="0.6">
      <c r="A40" s="2" t="s">
        <v>87</v>
      </c>
      <c r="B40" s="2" t="s">
        <v>10</v>
      </c>
      <c r="C40" s="2" t="s">
        <v>88</v>
      </c>
      <c r="D40" s="5" t="s">
        <v>15</v>
      </c>
      <c r="E40" s="2" t="s">
        <v>12</v>
      </c>
      <c r="F40" s="4">
        <f>PROJECT_START+13</f>
        <v>46053</v>
      </c>
      <c r="G40" s="4">
        <f t="shared" si="0"/>
        <v>46053.2</v>
      </c>
      <c r="H40" s="2">
        <v>0.2</v>
      </c>
      <c r="I40" s="2"/>
    </row>
    <row r="41" spans="1:9" x14ac:dyDescent="0.6">
      <c r="A41" s="2" t="s">
        <v>89</v>
      </c>
      <c r="B41" s="2" t="s">
        <v>10</v>
      </c>
      <c r="C41" s="2" t="s">
        <v>90</v>
      </c>
      <c r="D41" s="9" t="s">
        <v>91</v>
      </c>
      <c r="E41" s="2" t="s">
        <v>12</v>
      </c>
      <c r="F41" s="4">
        <f>PROJECT_START+14</f>
        <v>46054</v>
      </c>
      <c r="G41" s="4">
        <f t="shared" si="0"/>
        <v>46054</v>
      </c>
      <c r="H41" s="2">
        <f>DUR_SAIL</f>
        <v>0</v>
      </c>
      <c r="I41" s="2"/>
    </row>
    <row r="42" spans="1:9" x14ac:dyDescent="0.6">
      <c r="A42" s="2" t="s">
        <v>92</v>
      </c>
      <c r="B42" s="2" t="s">
        <v>10</v>
      </c>
      <c r="C42" s="2" t="s">
        <v>93</v>
      </c>
      <c r="D42" s="5" t="s">
        <v>15</v>
      </c>
      <c r="E42" s="2" t="s">
        <v>12</v>
      </c>
      <c r="F42" s="4">
        <f>PROJECT_START+15</f>
        <v>46055</v>
      </c>
      <c r="G42" s="4">
        <f t="shared" si="0"/>
        <v>46055</v>
      </c>
      <c r="H42" s="2">
        <f>DUR_BUF</f>
        <v>0</v>
      </c>
      <c r="I42" s="2"/>
    </row>
    <row r="43" spans="1:9" x14ac:dyDescent="0.6">
      <c r="A43" s="2" t="s">
        <v>94</v>
      </c>
      <c r="B43" s="2" t="s">
        <v>10</v>
      </c>
      <c r="C43" s="2" t="s">
        <v>95</v>
      </c>
      <c r="D43" s="10" t="s">
        <v>96</v>
      </c>
      <c r="E43" s="2" t="s">
        <v>12</v>
      </c>
      <c r="F43" s="4">
        <f>PROJECT_START+15</f>
        <v>46055</v>
      </c>
      <c r="G43" s="4">
        <f t="shared" si="0"/>
        <v>46055</v>
      </c>
      <c r="H43" s="2">
        <f>DUR_BUF</f>
        <v>0</v>
      </c>
      <c r="I43" s="2"/>
    </row>
    <row r="44" spans="1:9" x14ac:dyDescent="0.6">
      <c r="A44" s="2" t="s">
        <v>97</v>
      </c>
      <c r="B44" s="2" t="s">
        <v>10</v>
      </c>
      <c r="C44" s="2" t="s">
        <v>98</v>
      </c>
      <c r="D44" s="5" t="s">
        <v>15</v>
      </c>
      <c r="E44" s="2" t="s">
        <v>12</v>
      </c>
      <c r="F44" s="4">
        <f>PROJECT_START+15</f>
        <v>46055</v>
      </c>
      <c r="G44" s="4">
        <f t="shared" si="0"/>
        <v>46055</v>
      </c>
      <c r="H44" s="2">
        <f>DUR_BUF</f>
        <v>0</v>
      </c>
      <c r="I44" s="2"/>
    </row>
    <row r="45" spans="1:9" x14ac:dyDescent="0.6">
      <c r="A45" s="2" t="s">
        <v>99</v>
      </c>
      <c r="B45" s="2" t="s">
        <v>10</v>
      </c>
      <c r="C45" s="2" t="s">
        <v>100</v>
      </c>
      <c r="D45" s="7" t="s">
        <v>73</v>
      </c>
      <c r="E45" s="2" t="s">
        <v>12</v>
      </c>
      <c r="F45" s="4">
        <f>PROJECT_START+16</f>
        <v>46056</v>
      </c>
      <c r="G45" s="4">
        <f t="shared" si="0"/>
        <v>46056</v>
      </c>
      <c r="H45" s="2">
        <f>DUR_UL</f>
        <v>0</v>
      </c>
      <c r="I45" s="2"/>
    </row>
    <row r="46" spans="1:9" x14ac:dyDescent="0.6">
      <c r="A46" s="2" t="s">
        <v>101</v>
      </c>
      <c r="B46" s="2" t="s">
        <v>10</v>
      </c>
      <c r="C46" s="2" t="s">
        <v>102</v>
      </c>
      <c r="D46" s="7" t="s">
        <v>73</v>
      </c>
      <c r="E46" s="2" t="s">
        <v>12</v>
      </c>
      <c r="F46" s="4">
        <f>PROJECT_START+17</f>
        <v>46057</v>
      </c>
      <c r="G46" s="4">
        <f t="shared" si="0"/>
        <v>46057</v>
      </c>
      <c r="H46" s="2">
        <f>DUR_UL</f>
        <v>0</v>
      </c>
      <c r="I46" s="2"/>
    </row>
    <row r="47" spans="1:9" x14ac:dyDescent="0.6">
      <c r="A47" s="2" t="s">
        <v>103</v>
      </c>
      <c r="B47" s="2" t="s">
        <v>10</v>
      </c>
      <c r="C47" s="2" t="s">
        <v>104</v>
      </c>
      <c r="D47" s="9" t="s">
        <v>91</v>
      </c>
      <c r="E47" s="2" t="s">
        <v>12</v>
      </c>
      <c r="F47" s="4">
        <f>PROJECT_START+18</f>
        <v>46058</v>
      </c>
      <c r="G47" s="4">
        <f t="shared" si="0"/>
        <v>46058</v>
      </c>
      <c r="H47" s="2">
        <f>DUR_SAIL</f>
        <v>0</v>
      </c>
      <c r="I47" s="2"/>
    </row>
    <row r="48" spans="1:9" x14ac:dyDescent="0.6">
      <c r="A48" s="2" t="s">
        <v>105</v>
      </c>
      <c r="B48" s="2" t="s">
        <v>10</v>
      </c>
      <c r="C48" s="2" t="s">
        <v>106</v>
      </c>
      <c r="D48" s="5" t="s">
        <v>15</v>
      </c>
      <c r="E48" s="2" t="s">
        <v>12</v>
      </c>
      <c r="F48" s="4">
        <f>PROJECT_START+18</f>
        <v>46058</v>
      </c>
      <c r="G48" s="4">
        <f t="shared" si="0"/>
        <v>46058.3</v>
      </c>
      <c r="H48" s="2">
        <v>0.3</v>
      </c>
      <c r="I48" s="2"/>
    </row>
    <row r="49" spans="1:9" x14ac:dyDescent="0.6">
      <c r="A49" s="2" t="s">
        <v>107</v>
      </c>
      <c r="B49" s="2" t="s">
        <v>10</v>
      </c>
      <c r="C49" s="2" t="s">
        <v>108</v>
      </c>
      <c r="D49" s="5" t="s">
        <v>15</v>
      </c>
      <c r="E49" s="2" t="s">
        <v>12</v>
      </c>
      <c r="F49" s="4">
        <f>PROJECT_START+18</f>
        <v>46058</v>
      </c>
      <c r="G49" s="4">
        <f t="shared" si="0"/>
        <v>46058.7</v>
      </c>
      <c r="H49" s="2">
        <v>0.7</v>
      </c>
      <c r="I49" s="2"/>
    </row>
    <row r="50" spans="1:9" x14ac:dyDescent="0.6">
      <c r="A50" s="2" t="s">
        <v>109</v>
      </c>
      <c r="B50" s="2" t="s">
        <v>10</v>
      </c>
      <c r="C50" s="2" t="s">
        <v>110</v>
      </c>
      <c r="D50" s="11" t="s">
        <v>111</v>
      </c>
      <c r="E50" s="2" t="s">
        <v>12</v>
      </c>
      <c r="F50" s="4">
        <f>PROJECT_START+19</f>
        <v>46059</v>
      </c>
      <c r="G50" s="4">
        <f t="shared" si="0"/>
        <v>46059</v>
      </c>
      <c r="H50" s="2">
        <f>DUR_TURN</f>
        <v>0</v>
      </c>
      <c r="I50" s="2"/>
    </row>
    <row r="51" spans="1:9" x14ac:dyDescent="0.6">
      <c r="A51" s="12" t="s">
        <v>112</v>
      </c>
      <c r="B51" s="12" t="s">
        <v>10</v>
      </c>
      <c r="C51" s="12" t="s">
        <v>113</v>
      </c>
      <c r="D51" s="13" t="s">
        <v>114</v>
      </c>
      <c r="E51" s="12" t="s">
        <v>12</v>
      </c>
      <c r="F51" s="14">
        <f>PROJECT_START+22</f>
        <v>46062</v>
      </c>
      <c r="G51" s="14">
        <f t="shared" si="0"/>
        <v>46062</v>
      </c>
      <c r="H51" s="12">
        <f>DUR_JD</f>
        <v>0</v>
      </c>
      <c r="I51" s="12"/>
    </row>
    <row r="52" spans="1:9" x14ac:dyDescent="0.6">
      <c r="A52" s="2" t="s">
        <v>115</v>
      </c>
      <c r="B52" s="2" t="s">
        <v>10</v>
      </c>
      <c r="C52" s="2" t="s">
        <v>116</v>
      </c>
      <c r="D52" s="5" t="s">
        <v>15</v>
      </c>
      <c r="E52" s="2" t="s">
        <v>12</v>
      </c>
      <c r="F52" s="4">
        <f>PROJECT_START+22</f>
        <v>46062</v>
      </c>
      <c r="G52" s="4">
        <f t="shared" si="0"/>
        <v>46062.3</v>
      </c>
      <c r="H52" s="2">
        <v>0.3</v>
      </c>
      <c r="I52" s="2"/>
    </row>
    <row r="53" spans="1:9" x14ac:dyDescent="0.6">
      <c r="A53" s="2" t="s">
        <v>117</v>
      </c>
      <c r="B53" s="2" t="s">
        <v>10</v>
      </c>
      <c r="C53" s="2" t="s">
        <v>118</v>
      </c>
      <c r="D53" s="5" t="s">
        <v>15</v>
      </c>
      <c r="E53" s="2" t="s">
        <v>12</v>
      </c>
      <c r="F53" s="4">
        <f>PROJECT_START+22</f>
        <v>46062</v>
      </c>
      <c r="G53" s="4">
        <f t="shared" si="0"/>
        <v>46062.7</v>
      </c>
      <c r="H53" s="2">
        <v>0.7</v>
      </c>
      <c r="I53" s="2"/>
    </row>
    <row r="54" spans="1:9" x14ac:dyDescent="0.6">
      <c r="A54" s="2" t="s">
        <v>119</v>
      </c>
      <c r="B54" s="2" t="s">
        <v>10</v>
      </c>
      <c r="C54" s="2" t="s">
        <v>120</v>
      </c>
      <c r="D54" s="11" t="s">
        <v>111</v>
      </c>
      <c r="E54" s="2" t="s">
        <v>12</v>
      </c>
      <c r="F54" s="4">
        <f>PROJECT_START+23</f>
        <v>46063</v>
      </c>
      <c r="G54" s="4">
        <f t="shared" si="0"/>
        <v>46063</v>
      </c>
      <c r="H54" s="2">
        <f>DUR_TURN</f>
        <v>0</v>
      </c>
      <c r="I54" s="2"/>
    </row>
    <row r="55" spans="1:9" x14ac:dyDescent="0.6">
      <c r="A55" s="2" t="s">
        <v>121</v>
      </c>
      <c r="B55" s="2" t="s">
        <v>10</v>
      </c>
      <c r="C55" s="2" t="s">
        <v>122</v>
      </c>
      <c r="D55" s="5" t="s">
        <v>15</v>
      </c>
      <c r="E55" s="2" t="s">
        <v>12</v>
      </c>
      <c r="F55" s="4">
        <f>PROJECT_START+24</f>
        <v>46064</v>
      </c>
      <c r="G55" s="4">
        <f t="shared" si="0"/>
        <v>46064</v>
      </c>
      <c r="H55" s="2">
        <f>DUR_BUF</f>
        <v>0</v>
      </c>
      <c r="I55" s="2"/>
    </row>
    <row r="56" spans="1:9" x14ac:dyDescent="0.6">
      <c r="A56" s="12" t="s">
        <v>123</v>
      </c>
      <c r="B56" s="12" t="s">
        <v>10</v>
      </c>
      <c r="C56" s="12" t="s">
        <v>124</v>
      </c>
      <c r="D56" s="13" t="s">
        <v>114</v>
      </c>
      <c r="E56" s="12" t="s">
        <v>12</v>
      </c>
      <c r="F56" s="14">
        <f>PROJECT_START+26</f>
        <v>46066</v>
      </c>
      <c r="G56" s="14">
        <f t="shared" si="0"/>
        <v>46066</v>
      </c>
      <c r="H56" s="12">
        <f>DUR_JD</f>
        <v>0</v>
      </c>
      <c r="I56" s="12"/>
    </row>
    <row r="57" spans="1:9" x14ac:dyDescent="0.6">
      <c r="A57" s="2" t="s">
        <v>125</v>
      </c>
      <c r="B57" s="2" t="s">
        <v>10</v>
      </c>
      <c r="C57" s="2" t="s">
        <v>126</v>
      </c>
      <c r="D57" s="5" t="s">
        <v>15</v>
      </c>
      <c r="E57" s="2" t="s">
        <v>12</v>
      </c>
      <c r="F57" s="4">
        <f>PROJECT_START+19</f>
        <v>46059</v>
      </c>
      <c r="G57" s="4">
        <f t="shared" si="0"/>
        <v>46076</v>
      </c>
      <c r="H57" s="2">
        <v>17</v>
      </c>
      <c r="I57" s="2"/>
    </row>
    <row r="58" spans="1:9" x14ac:dyDescent="0.6">
      <c r="A58" s="2" t="s">
        <v>127</v>
      </c>
      <c r="B58" s="2" t="s">
        <v>10</v>
      </c>
      <c r="C58" s="2" t="s">
        <v>128</v>
      </c>
      <c r="D58" s="6" t="s">
        <v>60</v>
      </c>
      <c r="E58" s="2" t="s">
        <v>12</v>
      </c>
      <c r="F58" s="4">
        <f>PROJECT_START+19</f>
        <v>46059</v>
      </c>
      <c r="G58" s="4">
        <f t="shared" si="0"/>
        <v>46059</v>
      </c>
      <c r="H58" s="2">
        <f>DUR_BUF</f>
        <v>0</v>
      </c>
      <c r="I58" s="2"/>
    </row>
    <row r="59" spans="1:9" x14ac:dyDescent="0.6">
      <c r="A59" s="2" t="s">
        <v>129</v>
      </c>
      <c r="B59" s="2" t="s">
        <v>10</v>
      </c>
      <c r="C59" s="2" t="s">
        <v>130</v>
      </c>
      <c r="D59" s="5" t="s">
        <v>15</v>
      </c>
      <c r="E59" s="2" t="s">
        <v>12</v>
      </c>
      <c r="F59" s="4">
        <f>PROJECT_START+20</f>
        <v>46060</v>
      </c>
      <c r="G59" s="4">
        <f t="shared" si="0"/>
        <v>46060.3</v>
      </c>
      <c r="H59" s="2">
        <v>0.3</v>
      </c>
      <c r="I59" s="2"/>
    </row>
    <row r="60" spans="1:9" x14ac:dyDescent="0.6">
      <c r="A60" s="2" t="s">
        <v>131</v>
      </c>
      <c r="B60" s="2" t="s">
        <v>10</v>
      </c>
      <c r="C60" s="2" t="s">
        <v>70</v>
      </c>
      <c r="D60" s="5" t="s">
        <v>15</v>
      </c>
      <c r="E60" s="2" t="s">
        <v>12</v>
      </c>
      <c r="F60" s="4">
        <f>PROJECT_START+20</f>
        <v>46060</v>
      </c>
      <c r="G60" s="4">
        <f t="shared" si="0"/>
        <v>46060.3</v>
      </c>
      <c r="H60" s="2">
        <v>0.3</v>
      </c>
      <c r="I60" s="2"/>
    </row>
    <row r="61" spans="1:9" x14ac:dyDescent="0.6">
      <c r="A61" s="2" t="s">
        <v>132</v>
      </c>
      <c r="B61" s="2" t="s">
        <v>10</v>
      </c>
      <c r="C61" s="2" t="s">
        <v>133</v>
      </c>
      <c r="D61" s="7" t="s">
        <v>73</v>
      </c>
      <c r="E61" s="2" t="s">
        <v>12</v>
      </c>
      <c r="F61" s="4">
        <f>PROJECT_START+20</f>
        <v>46060</v>
      </c>
      <c r="G61" s="4">
        <f t="shared" si="0"/>
        <v>46060.2</v>
      </c>
      <c r="H61" s="2">
        <v>0.2</v>
      </c>
      <c r="I61" s="2"/>
    </row>
    <row r="62" spans="1:9" x14ac:dyDescent="0.6">
      <c r="A62" s="2" t="s">
        <v>134</v>
      </c>
      <c r="B62" s="2" t="s">
        <v>10</v>
      </c>
      <c r="C62" s="2" t="s">
        <v>135</v>
      </c>
      <c r="D62" s="8" t="s">
        <v>76</v>
      </c>
      <c r="E62" s="2" t="s">
        <v>12</v>
      </c>
      <c r="F62" s="4">
        <f>PROJECT_START+20</f>
        <v>46060</v>
      </c>
      <c r="G62" s="4">
        <f t="shared" si="0"/>
        <v>46060</v>
      </c>
      <c r="H62" s="2">
        <f>DUR_BUF</f>
        <v>0</v>
      </c>
      <c r="I62" s="2"/>
    </row>
    <row r="63" spans="1:9" x14ac:dyDescent="0.6">
      <c r="A63" s="2" t="s">
        <v>136</v>
      </c>
      <c r="B63" s="2" t="s">
        <v>10</v>
      </c>
      <c r="C63" s="2" t="s">
        <v>137</v>
      </c>
      <c r="D63" s="5" t="s">
        <v>15</v>
      </c>
      <c r="E63" s="2" t="s">
        <v>12</v>
      </c>
      <c r="F63" s="4">
        <f>PROJECT_START+20</f>
        <v>46060</v>
      </c>
      <c r="G63" s="4">
        <f t="shared" si="0"/>
        <v>46060</v>
      </c>
      <c r="H63" s="2">
        <f>DUR_BUF</f>
        <v>0</v>
      </c>
      <c r="I63" s="2"/>
    </row>
    <row r="64" spans="1:9" x14ac:dyDescent="0.6">
      <c r="A64" s="2" t="s">
        <v>138</v>
      </c>
      <c r="B64" s="2" t="s">
        <v>10</v>
      </c>
      <c r="C64" s="2" t="s">
        <v>139</v>
      </c>
      <c r="D64" s="5" t="s">
        <v>15</v>
      </c>
      <c r="E64" s="2" t="s">
        <v>12</v>
      </c>
      <c r="F64" s="4">
        <f>PROJECT_START+21</f>
        <v>46061</v>
      </c>
      <c r="G64" s="4">
        <f t="shared" si="0"/>
        <v>46061.05</v>
      </c>
      <c r="H64" s="2">
        <v>0.05</v>
      </c>
      <c r="I64" s="2"/>
    </row>
    <row r="65" spans="1:9" x14ac:dyDescent="0.6">
      <c r="A65" s="2" t="s">
        <v>140</v>
      </c>
      <c r="B65" s="2" t="s">
        <v>10</v>
      </c>
      <c r="C65" s="2" t="s">
        <v>82</v>
      </c>
      <c r="D65" s="5" t="s">
        <v>15</v>
      </c>
      <c r="E65" s="2" t="s">
        <v>12</v>
      </c>
      <c r="F65" s="4">
        <f>PROJECT_START+21</f>
        <v>46061</v>
      </c>
      <c r="G65" s="4">
        <f t="shared" si="0"/>
        <v>46061.3</v>
      </c>
      <c r="H65" s="2">
        <v>0.3</v>
      </c>
      <c r="I65" s="2"/>
    </row>
    <row r="66" spans="1:9" x14ac:dyDescent="0.6">
      <c r="A66" s="2" t="s">
        <v>141</v>
      </c>
      <c r="B66" s="2" t="s">
        <v>10</v>
      </c>
      <c r="C66" s="2" t="s">
        <v>142</v>
      </c>
      <c r="D66" s="7" t="s">
        <v>73</v>
      </c>
      <c r="E66" s="2" t="s">
        <v>12</v>
      </c>
      <c r="F66" s="4">
        <f>PROJECT_START+21</f>
        <v>46061</v>
      </c>
      <c r="G66" s="4">
        <f t="shared" ref="G66:G126" si="3">F66+H66</f>
        <v>46061.3</v>
      </c>
      <c r="H66" s="2">
        <v>0.3</v>
      </c>
      <c r="I66" s="2"/>
    </row>
    <row r="67" spans="1:9" x14ac:dyDescent="0.6">
      <c r="A67" s="2" t="s">
        <v>143</v>
      </c>
      <c r="B67" s="2" t="s">
        <v>10</v>
      </c>
      <c r="C67" s="2" t="s">
        <v>144</v>
      </c>
      <c r="D67" s="8" t="s">
        <v>76</v>
      </c>
      <c r="E67" s="2" t="s">
        <v>12</v>
      </c>
      <c r="F67" s="4">
        <f>PROJECT_START+21</f>
        <v>46061</v>
      </c>
      <c r="G67" s="4">
        <f t="shared" si="3"/>
        <v>46061</v>
      </c>
      <c r="H67" s="2">
        <f>DUR_BUF</f>
        <v>0</v>
      </c>
      <c r="I67" s="2"/>
    </row>
    <row r="68" spans="1:9" x14ac:dyDescent="0.6">
      <c r="A68" s="2" t="s">
        <v>145</v>
      </c>
      <c r="B68" s="2" t="s">
        <v>10</v>
      </c>
      <c r="C68" s="2" t="s">
        <v>88</v>
      </c>
      <c r="D68" s="5" t="s">
        <v>15</v>
      </c>
      <c r="E68" s="2" t="s">
        <v>12</v>
      </c>
      <c r="F68" s="4">
        <f>PROJECT_START+22</f>
        <v>46062</v>
      </c>
      <c r="G68" s="4">
        <f t="shared" si="3"/>
        <v>46062.2</v>
      </c>
      <c r="H68" s="2">
        <v>0.2</v>
      </c>
      <c r="I68" s="2"/>
    </row>
    <row r="69" spans="1:9" x14ac:dyDescent="0.6">
      <c r="A69" s="2" t="s">
        <v>146</v>
      </c>
      <c r="B69" s="2" t="s">
        <v>10</v>
      </c>
      <c r="C69" s="2" t="s">
        <v>90</v>
      </c>
      <c r="D69" s="9" t="s">
        <v>91</v>
      </c>
      <c r="E69" s="2" t="s">
        <v>12</v>
      </c>
      <c r="F69" s="4">
        <f>PROJECT_START+23</f>
        <v>46063</v>
      </c>
      <c r="G69" s="4">
        <f t="shared" si="3"/>
        <v>46063</v>
      </c>
      <c r="H69" s="2">
        <f>DUR_SAIL</f>
        <v>0</v>
      </c>
      <c r="I69" s="2"/>
    </row>
    <row r="70" spans="1:9" x14ac:dyDescent="0.6">
      <c r="A70" s="2" t="s">
        <v>147</v>
      </c>
      <c r="B70" s="2" t="s">
        <v>10</v>
      </c>
      <c r="C70" s="2" t="s">
        <v>95</v>
      </c>
      <c r="D70" s="10" t="s">
        <v>96</v>
      </c>
      <c r="E70" s="2" t="s">
        <v>12</v>
      </c>
      <c r="F70" s="4">
        <f>PROJECT_START+24</f>
        <v>46064</v>
      </c>
      <c r="G70" s="4">
        <f t="shared" si="3"/>
        <v>46064</v>
      </c>
      <c r="H70" s="2">
        <f>DUR_BUF</f>
        <v>0</v>
      </c>
      <c r="I70" s="2"/>
    </row>
    <row r="71" spans="1:9" x14ac:dyDescent="0.6">
      <c r="A71" s="2" t="s">
        <v>148</v>
      </c>
      <c r="B71" s="2" t="s">
        <v>10</v>
      </c>
      <c r="C71" s="2" t="s">
        <v>98</v>
      </c>
      <c r="D71" s="5" t="s">
        <v>15</v>
      </c>
      <c r="E71" s="2" t="s">
        <v>12</v>
      </c>
      <c r="F71" s="4">
        <f>PROJECT_START+24</f>
        <v>46064</v>
      </c>
      <c r="G71" s="4">
        <f t="shared" si="3"/>
        <v>46064</v>
      </c>
      <c r="H71" s="2">
        <f>DUR_BUF</f>
        <v>0</v>
      </c>
      <c r="I71" s="2"/>
    </row>
    <row r="72" spans="1:9" x14ac:dyDescent="0.6">
      <c r="A72" s="2" t="s">
        <v>149</v>
      </c>
      <c r="B72" s="2" t="s">
        <v>10</v>
      </c>
      <c r="C72" s="2" t="s">
        <v>150</v>
      </c>
      <c r="D72" s="7" t="s">
        <v>73</v>
      </c>
      <c r="E72" s="2" t="s">
        <v>12</v>
      </c>
      <c r="F72" s="4">
        <f>PROJECT_START+25</f>
        <v>46065</v>
      </c>
      <c r="G72" s="4">
        <f t="shared" si="3"/>
        <v>46065</v>
      </c>
      <c r="H72" s="2">
        <f>DUR_UL</f>
        <v>0</v>
      </c>
      <c r="I72" s="2"/>
    </row>
    <row r="73" spans="1:9" x14ac:dyDescent="0.6">
      <c r="A73" s="2" t="s">
        <v>151</v>
      </c>
      <c r="B73" s="2" t="s">
        <v>10</v>
      </c>
      <c r="C73" s="2" t="s">
        <v>152</v>
      </c>
      <c r="D73" s="7" t="s">
        <v>73</v>
      </c>
      <c r="E73" s="2" t="s">
        <v>12</v>
      </c>
      <c r="F73" s="4">
        <f>PROJECT_START+26</f>
        <v>46066</v>
      </c>
      <c r="G73" s="4">
        <f t="shared" si="3"/>
        <v>46066</v>
      </c>
      <c r="H73" s="2">
        <f>DUR_UL</f>
        <v>0</v>
      </c>
      <c r="I73" s="2"/>
    </row>
    <row r="74" spans="1:9" x14ac:dyDescent="0.6">
      <c r="A74" s="2" t="s">
        <v>153</v>
      </c>
      <c r="B74" s="2" t="s">
        <v>10</v>
      </c>
      <c r="C74" s="2" t="s">
        <v>154</v>
      </c>
      <c r="D74" s="9" t="s">
        <v>91</v>
      </c>
      <c r="E74" s="2" t="s">
        <v>12</v>
      </c>
      <c r="F74" s="4">
        <f>PROJECT_START+27</f>
        <v>46067</v>
      </c>
      <c r="G74" s="4">
        <f t="shared" si="3"/>
        <v>46067</v>
      </c>
      <c r="H74" s="2">
        <f>DUR_SAIL</f>
        <v>0</v>
      </c>
      <c r="I74" s="2"/>
    </row>
    <row r="75" spans="1:9" x14ac:dyDescent="0.6">
      <c r="A75" s="2" t="s">
        <v>155</v>
      </c>
      <c r="B75" s="2" t="s">
        <v>10</v>
      </c>
      <c r="C75" s="2" t="s">
        <v>106</v>
      </c>
      <c r="D75" s="5" t="s">
        <v>15</v>
      </c>
      <c r="E75" s="2" t="s">
        <v>12</v>
      </c>
      <c r="F75" s="4">
        <f>PROJECT_START+27</f>
        <v>46067</v>
      </c>
      <c r="G75" s="4">
        <f t="shared" si="3"/>
        <v>46067.3</v>
      </c>
      <c r="H75" s="2">
        <v>0.3</v>
      </c>
      <c r="I75" s="2"/>
    </row>
    <row r="76" spans="1:9" x14ac:dyDescent="0.6">
      <c r="A76" s="2" t="s">
        <v>156</v>
      </c>
      <c r="B76" s="2" t="s">
        <v>10</v>
      </c>
      <c r="C76" s="2" t="s">
        <v>157</v>
      </c>
      <c r="D76" s="5" t="s">
        <v>15</v>
      </c>
      <c r="E76" s="2" t="s">
        <v>12</v>
      </c>
      <c r="F76" s="4">
        <f>PROJECT_START+27</f>
        <v>46067</v>
      </c>
      <c r="G76" s="4">
        <f t="shared" si="3"/>
        <v>46067.7</v>
      </c>
      <c r="H76" s="2">
        <v>0.7</v>
      </c>
      <c r="I76" s="2"/>
    </row>
    <row r="77" spans="1:9" x14ac:dyDescent="0.6">
      <c r="A77" s="2" t="s">
        <v>158</v>
      </c>
      <c r="B77" s="2" t="s">
        <v>10</v>
      </c>
      <c r="C77" s="2" t="s">
        <v>159</v>
      </c>
      <c r="D77" s="11" t="s">
        <v>111</v>
      </c>
      <c r="E77" s="2" t="s">
        <v>12</v>
      </c>
      <c r="F77" s="4">
        <f>PROJECT_START+28</f>
        <v>46068</v>
      </c>
      <c r="G77" s="4">
        <f t="shared" si="3"/>
        <v>46068</v>
      </c>
      <c r="H77" s="2">
        <f>DUR_TURN</f>
        <v>0</v>
      </c>
      <c r="I77" s="2"/>
    </row>
    <row r="78" spans="1:9" x14ac:dyDescent="0.6">
      <c r="A78" s="12" t="s">
        <v>160</v>
      </c>
      <c r="B78" s="12" t="s">
        <v>10</v>
      </c>
      <c r="C78" s="12" t="s">
        <v>161</v>
      </c>
      <c r="D78" s="13" t="s">
        <v>114</v>
      </c>
      <c r="E78" s="12" t="s">
        <v>12</v>
      </c>
      <c r="F78" s="14">
        <f>PROJECT_START+31</f>
        <v>46071</v>
      </c>
      <c r="G78" s="14">
        <f t="shared" si="3"/>
        <v>46071</v>
      </c>
      <c r="H78" s="12">
        <f>DUR_JD</f>
        <v>0</v>
      </c>
      <c r="I78" s="12"/>
    </row>
    <row r="79" spans="1:9" x14ac:dyDescent="0.6">
      <c r="A79" s="2" t="s">
        <v>162</v>
      </c>
      <c r="B79" s="2" t="s">
        <v>10</v>
      </c>
      <c r="C79" s="2" t="s">
        <v>116</v>
      </c>
      <c r="D79" s="5" t="s">
        <v>15</v>
      </c>
      <c r="E79" s="2" t="s">
        <v>12</v>
      </c>
      <c r="F79" s="4">
        <f>PROJECT_START+31</f>
        <v>46071</v>
      </c>
      <c r="G79" s="4">
        <f t="shared" si="3"/>
        <v>46071.3</v>
      </c>
      <c r="H79" s="2">
        <v>0.3</v>
      </c>
      <c r="I79" s="2"/>
    </row>
    <row r="80" spans="1:9" x14ac:dyDescent="0.6">
      <c r="A80" s="2" t="s">
        <v>163</v>
      </c>
      <c r="B80" s="2" t="s">
        <v>10</v>
      </c>
      <c r="C80" s="2" t="s">
        <v>164</v>
      </c>
      <c r="D80" s="5" t="s">
        <v>15</v>
      </c>
      <c r="E80" s="2" t="s">
        <v>12</v>
      </c>
      <c r="F80" s="4">
        <f>PROJECT_START+31</f>
        <v>46071</v>
      </c>
      <c r="G80" s="4">
        <f t="shared" si="3"/>
        <v>46071.7</v>
      </c>
      <c r="H80" s="2">
        <v>0.7</v>
      </c>
      <c r="I80" s="2"/>
    </row>
    <row r="81" spans="1:9" x14ac:dyDescent="0.6">
      <c r="A81" s="2" t="s">
        <v>165</v>
      </c>
      <c r="B81" s="2" t="s">
        <v>10</v>
      </c>
      <c r="C81" s="2" t="s">
        <v>166</v>
      </c>
      <c r="D81" s="11" t="s">
        <v>111</v>
      </c>
      <c r="E81" s="2" t="s">
        <v>12</v>
      </c>
      <c r="F81" s="4">
        <f>PROJECT_START+32</f>
        <v>46072</v>
      </c>
      <c r="G81" s="4">
        <f t="shared" si="3"/>
        <v>46072</v>
      </c>
      <c r="H81" s="2">
        <f>DUR_TURN</f>
        <v>0</v>
      </c>
      <c r="I81" s="2"/>
    </row>
    <row r="82" spans="1:9" x14ac:dyDescent="0.6">
      <c r="A82" s="2" t="s">
        <v>167</v>
      </c>
      <c r="B82" s="2" t="s">
        <v>10</v>
      </c>
      <c r="C82" s="2" t="s">
        <v>122</v>
      </c>
      <c r="D82" s="5" t="s">
        <v>15</v>
      </c>
      <c r="E82" s="2" t="s">
        <v>12</v>
      </c>
      <c r="F82" s="4">
        <f>PROJECT_START+33</f>
        <v>46073</v>
      </c>
      <c r="G82" s="4">
        <f t="shared" si="3"/>
        <v>46073</v>
      </c>
      <c r="H82" s="2">
        <f>DUR_BUF</f>
        <v>0</v>
      </c>
      <c r="I82" s="2"/>
    </row>
    <row r="83" spans="1:9" x14ac:dyDescent="0.6">
      <c r="A83" s="12" t="s">
        <v>168</v>
      </c>
      <c r="B83" s="12" t="s">
        <v>10</v>
      </c>
      <c r="C83" s="12" t="s">
        <v>169</v>
      </c>
      <c r="D83" s="13" t="s">
        <v>114</v>
      </c>
      <c r="E83" s="12" t="s">
        <v>12</v>
      </c>
      <c r="F83" s="14">
        <f>PROJECT_START+35</f>
        <v>46075</v>
      </c>
      <c r="G83" s="14">
        <f t="shared" si="3"/>
        <v>46075</v>
      </c>
      <c r="H83" s="12">
        <f>DUR_JD</f>
        <v>0</v>
      </c>
      <c r="I83" s="12"/>
    </row>
    <row r="84" spans="1:9" x14ac:dyDescent="0.6">
      <c r="A84" s="2" t="s">
        <v>170</v>
      </c>
      <c r="B84" s="2" t="s">
        <v>10</v>
      </c>
      <c r="C84" s="2" t="s">
        <v>171</v>
      </c>
      <c r="D84" s="5" t="s">
        <v>15</v>
      </c>
      <c r="E84" s="2" t="s">
        <v>12</v>
      </c>
      <c r="F84" s="4">
        <f>PROJECT_START+28</f>
        <v>46068</v>
      </c>
      <c r="G84" s="4">
        <f t="shared" si="3"/>
        <v>46085</v>
      </c>
      <c r="H84" s="2">
        <v>17</v>
      </c>
      <c r="I84" s="2"/>
    </row>
    <row r="85" spans="1:9" x14ac:dyDescent="0.6">
      <c r="A85" s="2" t="s">
        <v>172</v>
      </c>
      <c r="B85" s="2" t="s">
        <v>10</v>
      </c>
      <c r="C85" s="2" t="s">
        <v>128</v>
      </c>
      <c r="D85" s="6" t="s">
        <v>60</v>
      </c>
      <c r="E85" s="2" t="s">
        <v>12</v>
      </c>
      <c r="F85" s="4">
        <f>PROJECT_START+28</f>
        <v>46068</v>
      </c>
      <c r="G85" s="4">
        <f t="shared" si="3"/>
        <v>46068</v>
      </c>
      <c r="H85" s="2">
        <f>DUR_BUF</f>
        <v>0</v>
      </c>
      <c r="I85" s="2"/>
    </row>
    <row r="86" spans="1:9" x14ac:dyDescent="0.6">
      <c r="A86" s="2" t="s">
        <v>173</v>
      </c>
      <c r="B86" s="2" t="s">
        <v>10</v>
      </c>
      <c r="C86" s="2" t="s">
        <v>174</v>
      </c>
      <c r="D86" s="5" t="s">
        <v>15</v>
      </c>
      <c r="E86" s="2" t="s">
        <v>12</v>
      </c>
      <c r="F86" s="4">
        <f>PROJECT_START+29</f>
        <v>46069</v>
      </c>
      <c r="G86" s="4">
        <f t="shared" si="3"/>
        <v>46069.3</v>
      </c>
      <c r="H86" s="2">
        <v>0.3</v>
      </c>
      <c r="I86" s="2"/>
    </row>
    <row r="87" spans="1:9" x14ac:dyDescent="0.6">
      <c r="A87" s="2" t="s">
        <v>175</v>
      </c>
      <c r="B87" s="2" t="s">
        <v>10</v>
      </c>
      <c r="C87" s="2" t="s">
        <v>70</v>
      </c>
      <c r="D87" s="5" t="s">
        <v>15</v>
      </c>
      <c r="E87" s="2" t="s">
        <v>12</v>
      </c>
      <c r="F87" s="4">
        <f>PROJECT_START+29</f>
        <v>46069</v>
      </c>
      <c r="G87" s="4">
        <f t="shared" si="3"/>
        <v>46069.3</v>
      </c>
      <c r="H87" s="2">
        <v>0.3</v>
      </c>
      <c r="I87" s="2"/>
    </row>
    <row r="88" spans="1:9" x14ac:dyDescent="0.6">
      <c r="A88" s="2" t="s">
        <v>176</v>
      </c>
      <c r="B88" s="2" t="s">
        <v>10</v>
      </c>
      <c r="C88" s="2" t="s">
        <v>177</v>
      </c>
      <c r="D88" s="7" t="s">
        <v>73</v>
      </c>
      <c r="E88" s="2" t="s">
        <v>12</v>
      </c>
      <c r="F88" s="4">
        <f>PROJECT_START+29</f>
        <v>46069</v>
      </c>
      <c r="G88" s="4">
        <f t="shared" si="3"/>
        <v>46069.2</v>
      </c>
      <c r="H88" s="2">
        <v>0.2</v>
      </c>
      <c r="I88" s="2"/>
    </row>
    <row r="89" spans="1:9" x14ac:dyDescent="0.6">
      <c r="A89" s="2" t="s">
        <v>178</v>
      </c>
      <c r="B89" s="2" t="s">
        <v>10</v>
      </c>
      <c r="C89" s="2" t="s">
        <v>179</v>
      </c>
      <c r="D89" s="8" t="s">
        <v>76</v>
      </c>
      <c r="E89" s="2" t="s">
        <v>12</v>
      </c>
      <c r="F89" s="4">
        <f>PROJECT_START+29</f>
        <v>46069</v>
      </c>
      <c r="G89" s="4">
        <f t="shared" si="3"/>
        <v>46069</v>
      </c>
      <c r="H89" s="2">
        <f>DUR_BUF</f>
        <v>0</v>
      </c>
      <c r="I89" s="2"/>
    </row>
    <row r="90" spans="1:9" x14ac:dyDescent="0.6">
      <c r="A90" s="2" t="s">
        <v>180</v>
      </c>
      <c r="B90" s="2" t="s">
        <v>10</v>
      </c>
      <c r="C90" s="2" t="s">
        <v>181</v>
      </c>
      <c r="D90" s="5" t="s">
        <v>15</v>
      </c>
      <c r="E90" s="2" t="s">
        <v>12</v>
      </c>
      <c r="F90" s="4">
        <f>PROJECT_START+29</f>
        <v>46069</v>
      </c>
      <c r="G90" s="4">
        <f t="shared" si="3"/>
        <v>46069</v>
      </c>
      <c r="H90" s="2">
        <f>DUR_BUF</f>
        <v>0</v>
      </c>
      <c r="I90" s="2"/>
    </row>
    <row r="91" spans="1:9" x14ac:dyDescent="0.6">
      <c r="A91" s="2" t="s">
        <v>182</v>
      </c>
      <c r="B91" s="2" t="s">
        <v>10</v>
      </c>
      <c r="C91" s="2" t="s">
        <v>183</v>
      </c>
      <c r="D91" s="5" t="s">
        <v>15</v>
      </c>
      <c r="E91" s="2" t="s">
        <v>12</v>
      </c>
      <c r="F91" s="4">
        <f>PROJECT_START+30</f>
        <v>46070</v>
      </c>
      <c r="G91" s="4">
        <f t="shared" si="3"/>
        <v>46070.05</v>
      </c>
      <c r="H91" s="2">
        <v>0.05</v>
      </c>
      <c r="I91" s="2"/>
    </row>
    <row r="92" spans="1:9" x14ac:dyDescent="0.6">
      <c r="A92" s="2" t="s">
        <v>184</v>
      </c>
      <c r="B92" s="2" t="s">
        <v>10</v>
      </c>
      <c r="C92" s="2" t="s">
        <v>82</v>
      </c>
      <c r="D92" s="5" t="s">
        <v>15</v>
      </c>
      <c r="E92" s="2" t="s">
        <v>12</v>
      </c>
      <c r="F92" s="4">
        <f>PROJECT_START+30</f>
        <v>46070</v>
      </c>
      <c r="G92" s="4">
        <f t="shared" si="3"/>
        <v>46070.3</v>
      </c>
      <c r="H92" s="2">
        <v>0.3</v>
      </c>
      <c r="I92" s="2"/>
    </row>
    <row r="93" spans="1:9" x14ac:dyDescent="0.6">
      <c r="A93" s="2" t="s">
        <v>185</v>
      </c>
      <c r="B93" s="2" t="s">
        <v>10</v>
      </c>
      <c r="C93" s="2" t="s">
        <v>186</v>
      </c>
      <c r="D93" s="7" t="s">
        <v>73</v>
      </c>
      <c r="E93" s="2" t="s">
        <v>12</v>
      </c>
      <c r="F93" s="4">
        <f>PROJECT_START+30</f>
        <v>46070</v>
      </c>
      <c r="G93" s="4">
        <f t="shared" si="3"/>
        <v>46070.3</v>
      </c>
      <c r="H93" s="2">
        <v>0.3</v>
      </c>
      <c r="I93" s="2"/>
    </row>
    <row r="94" spans="1:9" x14ac:dyDescent="0.6">
      <c r="A94" s="2" t="s">
        <v>187</v>
      </c>
      <c r="B94" s="2" t="s">
        <v>10</v>
      </c>
      <c r="C94" s="2" t="s">
        <v>188</v>
      </c>
      <c r="D94" s="8" t="s">
        <v>76</v>
      </c>
      <c r="E94" s="2" t="s">
        <v>12</v>
      </c>
      <c r="F94" s="4">
        <f>PROJECT_START+30</f>
        <v>46070</v>
      </c>
      <c r="G94" s="4">
        <f t="shared" si="3"/>
        <v>46070</v>
      </c>
      <c r="H94" s="2">
        <f>DUR_BUF</f>
        <v>0</v>
      </c>
      <c r="I94" s="2"/>
    </row>
    <row r="95" spans="1:9" x14ac:dyDescent="0.6">
      <c r="A95" s="2" t="s">
        <v>189</v>
      </c>
      <c r="B95" s="2" t="s">
        <v>10</v>
      </c>
      <c r="C95" s="2" t="s">
        <v>88</v>
      </c>
      <c r="D95" s="5" t="s">
        <v>15</v>
      </c>
      <c r="E95" s="2" t="s">
        <v>12</v>
      </c>
      <c r="F95" s="4">
        <f>PROJECT_START+31</f>
        <v>46071</v>
      </c>
      <c r="G95" s="4">
        <f t="shared" si="3"/>
        <v>46071.199999999997</v>
      </c>
      <c r="H95" s="2">
        <v>0.2</v>
      </c>
      <c r="I95" s="2"/>
    </row>
    <row r="96" spans="1:9" x14ac:dyDescent="0.6">
      <c r="A96" s="2" t="s">
        <v>190</v>
      </c>
      <c r="B96" s="2" t="s">
        <v>10</v>
      </c>
      <c r="C96" s="2" t="s">
        <v>90</v>
      </c>
      <c r="D96" s="9" t="s">
        <v>91</v>
      </c>
      <c r="E96" s="2" t="s">
        <v>12</v>
      </c>
      <c r="F96" s="4">
        <f>PROJECT_START+32</f>
        <v>46072</v>
      </c>
      <c r="G96" s="4">
        <f t="shared" si="3"/>
        <v>46072</v>
      </c>
      <c r="H96" s="2">
        <f>DUR_SAIL</f>
        <v>0</v>
      </c>
      <c r="I96" s="2"/>
    </row>
    <row r="97" spans="1:9" x14ac:dyDescent="0.6">
      <c r="A97" s="2" t="s">
        <v>191</v>
      </c>
      <c r="B97" s="2" t="s">
        <v>10</v>
      </c>
      <c r="C97" s="2" t="s">
        <v>95</v>
      </c>
      <c r="D97" s="10" t="s">
        <v>96</v>
      </c>
      <c r="E97" s="2" t="s">
        <v>12</v>
      </c>
      <c r="F97" s="4">
        <f>PROJECT_START+33</f>
        <v>46073</v>
      </c>
      <c r="G97" s="4">
        <f t="shared" si="3"/>
        <v>46073</v>
      </c>
      <c r="H97" s="2">
        <f>DUR_BUF</f>
        <v>0</v>
      </c>
      <c r="I97" s="2"/>
    </row>
    <row r="98" spans="1:9" x14ac:dyDescent="0.6">
      <c r="A98" s="2" t="s">
        <v>192</v>
      </c>
      <c r="B98" s="2" t="s">
        <v>10</v>
      </c>
      <c r="C98" s="2" t="s">
        <v>98</v>
      </c>
      <c r="D98" s="5" t="s">
        <v>15</v>
      </c>
      <c r="E98" s="2" t="s">
        <v>12</v>
      </c>
      <c r="F98" s="4">
        <f>PROJECT_START+33</f>
        <v>46073</v>
      </c>
      <c r="G98" s="4">
        <f t="shared" si="3"/>
        <v>46073</v>
      </c>
      <c r="H98" s="2">
        <f>DUR_BUF</f>
        <v>0</v>
      </c>
      <c r="I98" s="2"/>
    </row>
    <row r="99" spans="1:9" x14ac:dyDescent="0.6">
      <c r="A99" s="2" t="s">
        <v>193</v>
      </c>
      <c r="B99" s="2" t="s">
        <v>10</v>
      </c>
      <c r="C99" s="2" t="s">
        <v>194</v>
      </c>
      <c r="D99" s="7" t="s">
        <v>73</v>
      </c>
      <c r="E99" s="2" t="s">
        <v>12</v>
      </c>
      <c r="F99" s="4">
        <f>PROJECT_START+34</f>
        <v>46074</v>
      </c>
      <c r="G99" s="4">
        <f t="shared" si="3"/>
        <v>46074</v>
      </c>
      <c r="H99" s="2">
        <f>DUR_UL</f>
        <v>0</v>
      </c>
      <c r="I99" s="2"/>
    </row>
    <row r="100" spans="1:9" x14ac:dyDescent="0.6">
      <c r="A100" s="2" t="s">
        <v>195</v>
      </c>
      <c r="B100" s="2" t="s">
        <v>10</v>
      </c>
      <c r="C100" s="2" t="s">
        <v>196</v>
      </c>
      <c r="D100" s="7" t="s">
        <v>73</v>
      </c>
      <c r="E100" s="2" t="s">
        <v>12</v>
      </c>
      <c r="F100" s="4">
        <f>PROJECT_START+35</f>
        <v>46075</v>
      </c>
      <c r="G100" s="4">
        <f t="shared" si="3"/>
        <v>46075</v>
      </c>
      <c r="H100" s="2">
        <f>DUR_UL</f>
        <v>0</v>
      </c>
      <c r="I100" s="2"/>
    </row>
    <row r="101" spans="1:9" x14ac:dyDescent="0.6">
      <c r="A101" s="2" t="s">
        <v>197</v>
      </c>
      <c r="B101" s="2" t="s">
        <v>10</v>
      </c>
      <c r="C101" s="2" t="s">
        <v>198</v>
      </c>
      <c r="D101" s="9" t="s">
        <v>91</v>
      </c>
      <c r="E101" s="2" t="s">
        <v>12</v>
      </c>
      <c r="F101" s="4">
        <f>PROJECT_START+36</f>
        <v>46076</v>
      </c>
      <c r="G101" s="4">
        <f t="shared" si="3"/>
        <v>46076</v>
      </c>
      <c r="H101" s="2">
        <f>DUR_SAIL</f>
        <v>0</v>
      </c>
      <c r="I101" s="2"/>
    </row>
    <row r="102" spans="1:9" x14ac:dyDescent="0.6">
      <c r="A102" s="2" t="s">
        <v>199</v>
      </c>
      <c r="B102" s="2" t="s">
        <v>10</v>
      </c>
      <c r="C102" s="2" t="s">
        <v>106</v>
      </c>
      <c r="D102" s="5" t="s">
        <v>15</v>
      </c>
      <c r="E102" s="2" t="s">
        <v>12</v>
      </c>
      <c r="F102" s="4">
        <f>PROJECT_START+36</f>
        <v>46076</v>
      </c>
      <c r="G102" s="4">
        <f t="shared" si="3"/>
        <v>46076.3</v>
      </c>
      <c r="H102" s="2">
        <v>0.3</v>
      </c>
      <c r="I102" s="2"/>
    </row>
    <row r="103" spans="1:9" x14ac:dyDescent="0.6">
      <c r="A103" s="2" t="s">
        <v>200</v>
      </c>
      <c r="B103" s="2" t="s">
        <v>10</v>
      </c>
      <c r="C103" s="2" t="s">
        <v>201</v>
      </c>
      <c r="D103" s="5" t="s">
        <v>15</v>
      </c>
      <c r="E103" s="2" t="s">
        <v>12</v>
      </c>
      <c r="F103" s="4">
        <f>PROJECT_START+36</f>
        <v>46076</v>
      </c>
      <c r="G103" s="4">
        <f t="shared" si="3"/>
        <v>46076.7</v>
      </c>
      <c r="H103" s="2">
        <v>0.7</v>
      </c>
      <c r="I103" s="2"/>
    </row>
    <row r="104" spans="1:9" x14ac:dyDescent="0.6">
      <c r="A104" s="2" t="s">
        <v>202</v>
      </c>
      <c r="B104" s="2" t="s">
        <v>10</v>
      </c>
      <c r="C104" s="2" t="s">
        <v>203</v>
      </c>
      <c r="D104" s="11" t="s">
        <v>111</v>
      </c>
      <c r="E104" s="2" t="s">
        <v>12</v>
      </c>
      <c r="F104" s="4">
        <f>PROJECT_START+37</f>
        <v>46077</v>
      </c>
      <c r="G104" s="4">
        <f t="shared" si="3"/>
        <v>46077</v>
      </c>
      <c r="H104" s="2">
        <f>DUR_TURN</f>
        <v>0</v>
      </c>
      <c r="I104" s="2"/>
    </row>
    <row r="105" spans="1:9" x14ac:dyDescent="0.6">
      <c r="A105" s="12" t="s">
        <v>204</v>
      </c>
      <c r="B105" s="12" t="s">
        <v>10</v>
      </c>
      <c r="C105" s="12" t="s">
        <v>205</v>
      </c>
      <c r="D105" s="13" t="s">
        <v>114</v>
      </c>
      <c r="E105" s="12" t="s">
        <v>12</v>
      </c>
      <c r="F105" s="14">
        <f>PROJECT_START+40</f>
        <v>46080</v>
      </c>
      <c r="G105" s="14">
        <f t="shared" si="3"/>
        <v>46080</v>
      </c>
      <c r="H105" s="12">
        <f>DUR_JD</f>
        <v>0</v>
      </c>
      <c r="I105" s="12"/>
    </row>
    <row r="106" spans="1:9" x14ac:dyDescent="0.6">
      <c r="A106" s="2" t="s">
        <v>206</v>
      </c>
      <c r="B106" s="2" t="s">
        <v>10</v>
      </c>
      <c r="C106" s="2" t="s">
        <v>116</v>
      </c>
      <c r="D106" s="5" t="s">
        <v>15</v>
      </c>
      <c r="E106" s="2" t="s">
        <v>12</v>
      </c>
      <c r="F106" s="4">
        <f>PROJECT_START+40</f>
        <v>46080</v>
      </c>
      <c r="G106" s="4">
        <f t="shared" si="3"/>
        <v>46080.3</v>
      </c>
      <c r="H106" s="2">
        <v>0.3</v>
      </c>
      <c r="I106" s="2"/>
    </row>
    <row r="107" spans="1:9" x14ac:dyDescent="0.6">
      <c r="A107" s="2" t="s">
        <v>207</v>
      </c>
      <c r="B107" s="2" t="s">
        <v>10</v>
      </c>
      <c r="C107" s="2" t="s">
        <v>208</v>
      </c>
      <c r="D107" s="5" t="s">
        <v>15</v>
      </c>
      <c r="E107" s="2" t="s">
        <v>12</v>
      </c>
      <c r="F107" s="4">
        <f>PROJECT_START+40</f>
        <v>46080</v>
      </c>
      <c r="G107" s="4">
        <f t="shared" si="3"/>
        <v>46080.7</v>
      </c>
      <c r="H107" s="2">
        <v>0.7</v>
      </c>
      <c r="I107" s="2"/>
    </row>
    <row r="108" spans="1:9" x14ac:dyDescent="0.6">
      <c r="A108" s="2" t="s">
        <v>209</v>
      </c>
      <c r="B108" s="2" t="s">
        <v>10</v>
      </c>
      <c r="C108" s="2" t="s">
        <v>210</v>
      </c>
      <c r="D108" s="11" t="s">
        <v>111</v>
      </c>
      <c r="E108" s="2" t="s">
        <v>12</v>
      </c>
      <c r="F108" s="4">
        <f>PROJECT_START+41</f>
        <v>46081</v>
      </c>
      <c r="G108" s="4">
        <f t="shared" si="3"/>
        <v>46081</v>
      </c>
      <c r="H108" s="2">
        <f>DUR_TURN</f>
        <v>0</v>
      </c>
      <c r="I108" s="2"/>
    </row>
    <row r="109" spans="1:9" x14ac:dyDescent="0.6">
      <c r="A109" s="2" t="s">
        <v>211</v>
      </c>
      <c r="B109" s="2" t="s">
        <v>10</v>
      </c>
      <c r="C109" s="2" t="s">
        <v>122</v>
      </c>
      <c r="D109" s="5" t="s">
        <v>15</v>
      </c>
      <c r="E109" s="2" t="s">
        <v>12</v>
      </c>
      <c r="F109" s="4">
        <f>PROJECT_START+42</f>
        <v>46082</v>
      </c>
      <c r="G109" s="4">
        <f t="shared" si="3"/>
        <v>46082</v>
      </c>
      <c r="H109" s="2">
        <f>DUR_BUF</f>
        <v>0</v>
      </c>
      <c r="I109" s="2"/>
    </row>
    <row r="110" spans="1:9" x14ac:dyDescent="0.6">
      <c r="A110" s="12" t="s">
        <v>212</v>
      </c>
      <c r="B110" s="12" t="s">
        <v>10</v>
      </c>
      <c r="C110" s="12" t="s">
        <v>213</v>
      </c>
      <c r="D110" s="13" t="s">
        <v>114</v>
      </c>
      <c r="E110" s="12" t="s">
        <v>12</v>
      </c>
      <c r="F110" s="14">
        <f>PROJECT_START+44</f>
        <v>46084</v>
      </c>
      <c r="G110" s="14">
        <f t="shared" si="3"/>
        <v>46084</v>
      </c>
      <c r="H110" s="12">
        <f>DUR_JD</f>
        <v>0</v>
      </c>
      <c r="I110" s="12"/>
    </row>
    <row r="111" spans="1:9" x14ac:dyDescent="0.6">
      <c r="A111" s="2" t="s">
        <v>214</v>
      </c>
      <c r="B111" s="2" t="s">
        <v>10</v>
      </c>
      <c r="C111" s="2" t="s">
        <v>215</v>
      </c>
      <c r="D111" s="5" t="s">
        <v>15</v>
      </c>
      <c r="E111" s="2" t="s">
        <v>12</v>
      </c>
      <c r="F111" s="4">
        <f>PROJECT_START+37</f>
        <v>46077</v>
      </c>
      <c r="G111" s="4">
        <f t="shared" si="3"/>
        <v>46089</v>
      </c>
      <c r="H111" s="2">
        <v>12</v>
      </c>
      <c r="I111" s="2"/>
    </row>
    <row r="112" spans="1:9" x14ac:dyDescent="0.6">
      <c r="A112" s="2" t="s">
        <v>216</v>
      </c>
      <c r="B112" s="2" t="s">
        <v>10</v>
      </c>
      <c r="C112" s="2" t="s">
        <v>128</v>
      </c>
      <c r="D112" s="6" t="s">
        <v>60</v>
      </c>
      <c r="E112" s="2" t="s">
        <v>12</v>
      </c>
      <c r="F112" s="4">
        <f>PROJECT_START+37</f>
        <v>46077</v>
      </c>
      <c r="G112" s="4">
        <f t="shared" si="3"/>
        <v>46077</v>
      </c>
      <c r="H112" s="2">
        <f>DUR_BUF</f>
        <v>0</v>
      </c>
      <c r="I112" s="2"/>
    </row>
    <row r="113" spans="1:9" x14ac:dyDescent="0.6">
      <c r="A113" s="2" t="s">
        <v>217</v>
      </c>
      <c r="B113" s="2" t="s">
        <v>10</v>
      </c>
      <c r="C113" s="2" t="s">
        <v>218</v>
      </c>
      <c r="D113" s="5" t="s">
        <v>15</v>
      </c>
      <c r="E113" s="2" t="s">
        <v>12</v>
      </c>
      <c r="F113" s="4">
        <f>PROJECT_START+38</f>
        <v>46078</v>
      </c>
      <c r="G113" s="4">
        <f t="shared" si="3"/>
        <v>46078.3</v>
      </c>
      <c r="H113" s="2">
        <v>0.3</v>
      </c>
      <c r="I113" s="2"/>
    </row>
    <row r="114" spans="1:9" x14ac:dyDescent="0.6">
      <c r="A114" s="2" t="s">
        <v>219</v>
      </c>
      <c r="B114" s="2" t="s">
        <v>10</v>
      </c>
      <c r="C114" s="2" t="s">
        <v>70</v>
      </c>
      <c r="D114" s="5" t="s">
        <v>15</v>
      </c>
      <c r="E114" s="2" t="s">
        <v>12</v>
      </c>
      <c r="F114" s="4">
        <f>PROJECT_START+38</f>
        <v>46078</v>
      </c>
      <c r="G114" s="4">
        <f t="shared" si="3"/>
        <v>46078.3</v>
      </c>
      <c r="H114" s="2">
        <v>0.3</v>
      </c>
      <c r="I114" s="2"/>
    </row>
    <row r="115" spans="1:9" x14ac:dyDescent="0.6">
      <c r="A115" s="2" t="s">
        <v>220</v>
      </c>
      <c r="B115" s="2" t="s">
        <v>10</v>
      </c>
      <c r="C115" s="2" t="s">
        <v>221</v>
      </c>
      <c r="D115" s="7" t="s">
        <v>73</v>
      </c>
      <c r="E115" s="2" t="s">
        <v>12</v>
      </c>
      <c r="F115" s="4">
        <f>PROJECT_START+38</f>
        <v>46078</v>
      </c>
      <c r="G115" s="4">
        <f t="shared" si="3"/>
        <v>46078.2</v>
      </c>
      <c r="H115" s="2">
        <v>0.2</v>
      </c>
      <c r="I115" s="2"/>
    </row>
    <row r="116" spans="1:9" x14ac:dyDescent="0.6">
      <c r="A116" s="2" t="s">
        <v>222</v>
      </c>
      <c r="B116" s="2" t="s">
        <v>10</v>
      </c>
      <c r="C116" s="2" t="s">
        <v>223</v>
      </c>
      <c r="D116" s="8" t="s">
        <v>76</v>
      </c>
      <c r="E116" s="2" t="s">
        <v>12</v>
      </c>
      <c r="F116" s="4">
        <f>PROJECT_START+38</f>
        <v>46078</v>
      </c>
      <c r="G116" s="4">
        <f t="shared" si="3"/>
        <v>46078</v>
      </c>
      <c r="H116" s="2">
        <f>DUR_BUF</f>
        <v>0</v>
      </c>
      <c r="I116" s="2"/>
    </row>
    <row r="117" spans="1:9" x14ac:dyDescent="0.6">
      <c r="A117" s="2" t="s">
        <v>224</v>
      </c>
      <c r="B117" s="2" t="s">
        <v>10</v>
      </c>
      <c r="C117" s="2" t="s">
        <v>88</v>
      </c>
      <c r="D117" s="5" t="s">
        <v>15</v>
      </c>
      <c r="E117" s="2" t="s">
        <v>12</v>
      </c>
      <c r="F117" s="4">
        <f>PROJECT_START+39</f>
        <v>46079</v>
      </c>
      <c r="G117" s="4">
        <f t="shared" si="3"/>
        <v>46079</v>
      </c>
      <c r="H117" s="2">
        <f>DUR_BUF</f>
        <v>0</v>
      </c>
      <c r="I117" s="2"/>
    </row>
    <row r="118" spans="1:9" x14ac:dyDescent="0.6">
      <c r="A118" s="2" t="s">
        <v>225</v>
      </c>
      <c r="B118" s="2" t="s">
        <v>10</v>
      </c>
      <c r="C118" s="2" t="s">
        <v>90</v>
      </c>
      <c r="D118" s="9" t="s">
        <v>91</v>
      </c>
      <c r="E118" s="2" t="s">
        <v>12</v>
      </c>
      <c r="F118" s="4">
        <f>PROJECT_START+40</f>
        <v>46080</v>
      </c>
      <c r="G118" s="4">
        <f t="shared" si="3"/>
        <v>46080</v>
      </c>
      <c r="H118" s="2">
        <f>DUR_SAIL</f>
        <v>0</v>
      </c>
      <c r="I118" s="2"/>
    </row>
    <row r="119" spans="1:9" x14ac:dyDescent="0.6">
      <c r="A119" s="2" t="s">
        <v>226</v>
      </c>
      <c r="B119" s="2" t="s">
        <v>10</v>
      </c>
      <c r="C119" s="2" t="s">
        <v>95</v>
      </c>
      <c r="D119" s="10" t="s">
        <v>96</v>
      </c>
      <c r="E119" s="2" t="s">
        <v>12</v>
      </c>
      <c r="F119" s="4">
        <f>PROJECT_START+41</f>
        <v>46081</v>
      </c>
      <c r="G119" s="4">
        <f t="shared" si="3"/>
        <v>46081</v>
      </c>
      <c r="H119" s="2">
        <f>DUR_BUF</f>
        <v>0</v>
      </c>
      <c r="I119" s="2"/>
    </row>
    <row r="120" spans="1:9" x14ac:dyDescent="0.6">
      <c r="A120" s="2" t="s">
        <v>227</v>
      </c>
      <c r="B120" s="2" t="s">
        <v>10</v>
      </c>
      <c r="C120" s="2" t="s">
        <v>98</v>
      </c>
      <c r="D120" s="5" t="s">
        <v>15</v>
      </c>
      <c r="E120" s="2" t="s">
        <v>12</v>
      </c>
      <c r="F120" s="4">
        <f>PROJECT_START+41</f>
        <v>46081</v>
      </c>
      <c r="G120" s="4">
        <f t="shared" si="3"/>
        <v>46081</v>
      </c>
      <c r="H120" s="2">
        <f>DUR_BUF</f>
        <v>0</v>
      </c>
      <c r="I120" s="2"/>
    </row>
    <row r="121" spans="1:9" x14ac:dyDescent="0.6">
      <c r="A121" s="2" t="s">
        <v>228</v>
      </c>
      <c r="B121" s="2" t="s">
        <v>10</v>
      </c>
      <c r="C121" s="2" t="s">
        <v>229</v>
      </c>
      <c r="D121" s="7" t="s">
        <v>73</v>
      </c>
      <c r="E121" s="2" t="s">
        <v>12</v>
      </c>
      <c r="F121" s="4">
        <f>PROJECT_START+42</f>
        <v>46082</v>
      </c>
      <c r="G121" s="4">
        <f t="shared" si="3"/>
        <v>46082</v>
      </c>
      <c r="H121" s="2">
        <f>DUR_UL</f>
        <v>0</v>
      </c>
      <c r="I121" s="2"/>
    </row>
    <row r="122" spans="1:9" x14ac:dyDescent="0.6">
      <c r="A122" s="2" t="s">
        <v>230</v>
      </c>
      <c r="B122" s="2" t="s">
        <v>10</v>
      </c>
      <c r="C122" s="2" t="s">
        <v>231</v>
      </c>
      <c r="D122" s="5" t="s">
        <v>15</v>
      </c>
      <c r="E122" s="2" t="s">
        <v>12</v>
      </c>
      <c r="F122" s="4">
        <f>PROJECT_START+43</f>
        <v>46083</v>
      </c>
      <c r="G122" s="4">
        <f t="shared" si="3"/>
        <v>46083.3</v>
      </c>
      <c r="H122" s="2">
        <v>0.3</v>
      </c>
      <c r="I122" s="2"/>
    </row>
    <row r="123" spans="1:9" x14ac:dyDescent="0.6">
      <c r="A123" s="2" t="s">
        <v>232</v>
      </c>
      <c r="B123" s="2" t="s">
        <v>10</v>
      </c>
      <c r="C123" s="2" t="s">
        <v>233</v>
      </c>
      <c r="D123" s="5" t="s">
        <v>15</v>
      </c>
      <c r="E123" s="2" t="s">
        <v>12</v>
      </c>
      <c r="F123" s="4">
        <f>PROJECT_START+43</f>
        <v>46083</v>
      </c>
      <c r="G123" s="4">
        <f t="shared" si="3"/>
        <v>46083.7</v>
      </c>
      <c r="H123" s="2">
        <v>0.7</v>
      </c>
      <c r="I123" s="2"/>
    </row>
    <row r="124" spans="1:9" x14ac:dyDescent="0.6">
      <c r="A124" s="2" t="s">
        <v>234</v>
      </c>
      <c r="B124" s="2" t="s">
        <v>10</v>
      </c>
      <c r="C124" s="2" t="s">
        <v>235</v>
      </c>
      <c r="D124" s="11" t="s">
        <v>111</v>
      </c>
      <c r="E124" s="2" t="s">
        <v>12</v>
      </c>
      <c r="F124" s="4">
        <f>PROJECT_START+45</f>
        <v>46085</v>
      </c>
      <c r="G124" s="4">
        <f t="shared" si="3"/>
        <v>46085</v>
      </c>
      <c r="H124" s="2">
        <f>DUR_TURN</f>
        <v>0</v>
      </c>
      <c r="I124" s="2"/>
    </row>
    <row r="125" spans="1:9" x14ac:dyDescent="0.6">
      <c r="A125" s="12" t="s">
        <v>236</v>
      </c>
      <c r="B125" s="12" t="s">
        <v>10</v>
      </c>
      <c r="C125" s="12" t="s">
        <v>237</v>
      </c>
      <c r="D125" s="13" t="s">
        <v>114</v>
      </c>
      <c r="E125" s="12" t="s">
        <v>12</v>
      </c>
      <c r="F125" s="14">
        <f>PROJECT_START+48</f>
        <v>46088</v>
      </c>
      <c r="G125" s="14">
        <f t="shared" si="3"/>
        <v>46088</v>
      </c>
      <c r="H125" s="12">
        <f>DUR_JD</f>
        <v>0</v>
      </c>
      <c r="I125" s="12"/>
    </row>
    <row r="126" spans="1:9" x14ac:dyDescent="0.6">
      <c r="A126" s="2" t="s">
        <v>238</v>
      </c>
      <c r="B126" s="2" t="s">
        <v>10</v>
      </c>
      <c r="C126" s="2" t="s">
        <v>122</v>
      </c>
      <c r="D126" s="5" t="s">
        <v>15</v>
      </c>
      <c r="E126" s="2" t="s">
        <v>12</v>
      </c>
      <c r="F126" s="4">
        <f>PROJECT_START+47</f>
        <v>46087</v>
      </c>
      <c r="G126" s="4">
        <f t="shared" si="3"/>
        <v>46087</v>
      </c>
      <c r="H126" s="2">
        <f>DUR_BUF</f>
        <v>0</v>
      </c>
      <c r="I126" s="2"/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53575-7EF2-4387-B20B-F44627AC4680}">
  <sheetPr codeName="Sheet4"/>
  <dimension ref="A1:I125"/>
  <sheetViews>
    <sheetView workbookViewId="0">
      <pane ySplit="1" topLeftCell="A2" activePane="bottomLeft" state="frozen"/>
      <selection sqref="A1:XFD4"/>
      <selection pane="bottomLeft" sqref="A1:XFD4"/>
    </sheetView>
  </sheetViews>
  <sheetFormatPr defaultRowHeight="16.899999999999999" x14ac:dyDescent="0.6"/>
  <cols>
    <col min="1" max="1" width="10" customWidth="1"/>
    <col min="2" max="2" width="6" customWidth="1"/>
    <col min="3" max="3" width="38" customWidth="1"/>
    <col min="4" max="5" width="14" customWidth="1"/>
    <col min="6" max="7" width="12" customWidth="1"/>
    <col min="8" max="8" width="10" customWidth="1"/>
    <col min="9" max="9" width="40" customWidth="1"/>
  </cols>
  <sheetData>
    <row r="1" spans="1:9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6">
      <c r="A2" s="2" t="s">
        <v>9</v>
      </c>
      <c r="B2" s="2" t="s">
        <v>10</v>
      </c>
      <c r="C2" s="2" t="s">
        <v>11</v>
      </c>
      <c r="D2" s="3" t="s">
        <v>11</v>
      </c>
      <c r="E2" s="2" t="s">
        <v>12</v>
      </c>
      <c r="F2" s="4">
        <f>PROJECT_START+8</f>
        <v>46048</v>
      </c>
      <c r="G2" s="4">
        <f t="shared" ref="G2:G65" si="0">F2+H2</f>
        <v>46052.3</v>
      </c>
      <c r="H2" s="2">
        <v>4.3</v>
      </c>
      <c r="I2" s="2"/>
    </row>
    <row r="3" spans="1:9" x14ac:dyDescent="0.6">
      <c r="A3" s="2" t="s">
        <v>13</v>
      </c>
      <c r="B3" s="2" t="s">
        <v>10</v>
      </c>
      <c r="C3" s="2" t="s">
        <v>14</v>
      </c>
      <c r="D3" s="5" t="s">
        <v>15</v>
      </c>
      <c r="E3" s="2" t="s">
        <v>12</v>
      </c>
      <c r="F3" s="4">
        <f>PROJECT_START+8</f>
        <v>46048</v>
      </c>
      <c r="G3" s="4">
        <f t="shared" si="0"/>
        <v>46048</v>
      </c>
      <c r="H3" s="2">
        <f>DUR_BUF</f>
        <v>0</v>
      </c>
      <c r="I3" s="2"/>
    </row>
    <row r="4" spans="1:9" x14ac:dyDescent="0.6">
      <c r="A4" s="2" t="s">
        <v>9</v>
      </c>
      <c r="B4" s="2" t="s">
        <v>10</v>
      </c>
      <c r="C4" s="2" t="s">
        <v>239</v>
      </c>
      <c r="D4" s="3" t="s">
        <v>11</v>
      </c>
      <c r="E4" s="2" t="s">
        <v>12</v>
      </c>
      <c r="F4" s="4">
        <f>PROJECT_START+8</f>
        <v>46048</v>
      </c>
      <c r="G4" s="4">
        <f t="shared" si="0"/>
        <v>46048.5</v>
      </c>
      <c r="H4" s="2">
        <f>DUR_MOB</f>
        <v>0.5</v>
      </c>
      <c r="I4" s="2"/>
    </row>
    <row r="5" spans="1:9" x14ac:dyDescent="0.6">
      <c r="A5" s="2" t="s">
        <v>20</v>
      </c>
      <c r="B5" s="2" t="s">
        <v>10</v>
      </c>
      <c r="C5" s="2" t="s">
        <v>21</v>
      </c>
      <c r="D5" s="5" t="s">
        <v>15</v>
      </c>
      <c r="E5" s="2" t="s">
        <v>12</v>
      </c>
      <c r="F5" s="4">
        <f>PROJECT_START+8</f>
        <v>46048</v>
      </c>
      <c r="G5" s="4">
        <f t="shared" si="0"/>
        <v>46048</v>
      </c>
      <c r="H5" s="2">
        <f>DUR_BUF</f>
        <v>0</v>
      </c>
      <c r="I5" s="2"/>
    </row>
    <row r="6" spans="1:9" x14ac:dyDescent="0.6">
      <c r="A6" s="2" t="s">
        <v>9</v>
      </c>
      <c r="B6" s="2" t="s">
        <v>10</v>
      </c>
      <c r="C6" s="2" t="s">
        <v>23</v>
      </c>
      <c r="D6" s="3" t="s">
        <v>11</v>
      </c>
      <c r="E6" s="2" t="s">
        <v>12</v>
      </c>
      <c r="F6" s="4">
        <f>PROJECT_START+8</f>
        <v>46048</v>
      </c>
      <c r="G6" s="4">
        <f t="shared" si="0"/>
        <v>46048</v>
      </c>
      <c r="H6" s="2">
        <f>DUR_BUF</f>
        <v>0</v>
      </c>
      <c r="I6" s="2"/>
    </row>
    <row r="7" spans="1:9" x14ac:dyDescent="0.6">
      <c r="A7" s="2" t="s">
        <v>24</v>
      </c>
      <c r="B7" s="2" t="s">
        <v>10</v>
      </c>
      <c r="C7" s="2" t="s">
        <v>240</v>
      </c>
      <c r="D7" s="5" t="s">
        <v>15</v>
      </c>
      <c r="E7" s="2" t="s">
        <v>12</v>
      </c>
      <c r="F7" s="4">
        <f>PROJECT_START+11</f>
        <v>46051</v>
      </c>
      <c r="G7" s="4">
        <f t="shared" si="0"/>
        <v>46051</v>
      </c>
      <c r="H7" s="2">
        <f>DUR_BUF</f>
        <v>0</v>
      </c>
      <c r="I7" s="2"/>
    </row>
    <row r="8" spans="1:9" x14ac:dyDescent="0.6">
      <c r="A8" s="2" t="s">
        <v>9</v>
      </c>
      <c r="B8" s="2" t="s">
        <v>10</v>
      </c>
      <c r="C8" s="2" t="s">
        <v>241</v>
      </c>
      <c r="D8" s="3" t="s">
        <v>11</v>
      </c>
      <c r="E8" s="2" t="s">
        <v>12</v>
      </c>
      <c r="F8" s="4">
        <f>PROJECT_START+11</f>
        <v>46051</v>
      </c>
      <c r="G8" s="4">
        <f t="shared" si="0"/>
        <v>46054</v>
      </c>
      <c r="H8" s="2">
        <f>DUR_MOB</f>
        <v>3</v>
      </c>
      <c r="I8" s="2"/>
    </row>
    <row r="9" spans="1:9" x14ac:dyDescent="0.6">
      <c r="A9" s="2" t="s">
        <v>9</v>
      </c>
      <c r="B9" s="2" t="s">
        <v>10</v>
      </c>
      <c r="C9" s="2" t="s">
        <v>28</v>
      </c>
      <c r="D9" s="3" t="s">
        <v>11</v>
      </c>
      <c r="E9" s="2" t="s">
        <v>12</v>
      </c>
      <c r="F9" s="4">
        <f>PROJECT_START+71</f>
        <v>46111</v>
      </c>
      <c r="G9" s="4">
        <f t="shared" si="0"/>
        <v>46113</v>
      </c>
      <c r="H9" s="2">
        <v>2</v>
      </c>
      <c r="I9" s="2"/>
    </row>
    <row r="10" spans="1:9" x14ac:dyDescent="0.6">
      <c r="A10" s="2" t="s">
        <v>29</v>
      </c>
      <c r="B10" s="2" t="s">
        <v>10</v>
      </c>
      <c r="C10" s="2" t="s">
        <v>14</v>
      </c>
      <c r="D10" s="5" t="s">
        <v>15</v>
      </c>
      <c r="E10" s="2" t="s">
        <v>12</v>
      </c>
      <c r="F10" s="4">
        <f>PROJECT_START+71</f>
        <v>46111</v>
      </c>
      <c r="G10" s="4">
        <f t="shared" si="0"/>
        <v>46111</v>
      </c>
      <c r="H10" s="2">
        <f>DUR_BUF</f>
        <v>0</v>
      </c>
      <c r="I10" s="2"/>
    </row>
    <row r="11" spans="1:9" x14ac:dyDescent="0.6">
      <c r="A11" s="2" t="s">
        <v>9</v>
      </c>
      <c r="B11" s="2" t="s">
        <v>10</v>
      </c>
      <c r="C11" s="2" t="s">
        <v>242</v>
      </c>
      <c r="D11" s="3" t="s">
        <v>11</v>
      </c>
      <c r="E11" s="2" t="s">
        <v>12</v>
      </c>
      <c r="F11" s="4">
        <f>PROJECT_START+71</f>
        <v>46111</v>
      </c>
      <c r="G11" s="4">
        <f t="shared" si="0"/>
        <v>46111.5</v>
      </c>
      <c r="H11" s="2">
        <f>DUR_MOB</f>
        <v>0.5</v>
      </c>
      <c r="I11" s="2"/>
    </row>
    <row r="12" spans="1:9" x14ac:dyDescent="0.6">
      <c r="A12" s="2" t="s">
        <v>34</v>
      </c>
      <c r="B12" s="2" t="s">
        <v>10</v>
      </c>
      <c r="C12" s="2" t="s">
        <v>21</v>
      </c>
      <c r="D12" s="5" t="s">
        <v>15</v>
      </c>
      <c r="E12" s="2" t="s">
        <v>12</v>
      </c>
      <c r="F12" s="4">
        <f>PROJECT_START+72</f>
        <v>46112</v>
      </c>
      <c r="G12" s="4">
        <f t="shared" si="0"/>
        <v>46112</v>
      </c>
      <c r="H12" s="2">
        <f>DUR_BUF</f>
        <v>0</v>
      </c>
      <c r="I12" s="2"/>
    </row>
    <row r="13" spans="1:9" x14ac:dyDescent="0.6">
      <c r="A13" s="2" t="s">
        <v>9</v>
      </c>
      <c r="B13" s="2" t="s">
        <v>10</v>
      </c>
      <c r="C13" s="2" t="s">
        <v>243</v>
      </c>
      <c r="D13" s="3" t="s">
        <v>11</v>
      </c>
      <c r="E13" s="2" t="s">
        <v>12</v>
      </c>
      <c r="F13" s="4">
        <f>PROJECT_START+72</f>
        <v>46112</v>
      </c>
      <c r="G13" s="4">
        <f t="shared" si="0"/>
        <v>46112</v>
      </c>
      <c r="H13" s="2">
        <f>DUR_MOB</f>
        <v>0</v>
      </c>
      <c r="I13" s="2"/>
    </row>
    <row r="14" spans="1:9" x14ac:dyDescent="0.6">
      <c r="A14" s="2" t="s">
        <v>37</v>
      </c>
      <c r="B14" s="2" t="s">
        <v>10</v>
      </c>
      <c r="C14" s="2" t="s">
        <v>240</v>
      </c>
      <c r="D14" s="5" t="s">
        <v>15</v>
      </c>
      <c r="E14" s="2" t="s">
        <v>12</v>
      </c>
      <c r="F14" s="4">
        <f>PROJECT_START+71</f>
        <v>46111</v>
      </c>
      <c r="G14" s="4">
        <f t="shared" si="0"/>
        <v>46111</v>
      </c>
      <c r="H14" s="2">
        <f>DUR_BUF</f>
        <v>0</v>
      </c>
      <c r="I14" s="2"/>
    </row>
    <row r="15" spans="1:9" x14ac:dyDescent="0.6">
      <c r="A15" s="2" t="s">
        <v>9</v>
      </c>
      <c r="B15" s="2" t="s">
        <v>10</v>
      </c>
      <c r="C15" s="2" t="s">
        <v>244</v>
      </c>
      <c r="D15" s="3" t="s">
        <v>11</v>
      </c>
      <c r="E15" s="2" t="s">
        <v>12</v>
      </c>
      <c r="F15" s="4">
        <f>PROJECT_START+71</f>
        <v>46111</v>
      </c>
      <c r="G15" s="4">
        <f t="shared" si="0"/>
        <v>46111</v>
      </c>
      <c r="H15" s="2">
        <f>DUR_MOB</f>
        <v>0</v>
      </c>
      <c r="I15" s="2"/>
    </row>
    <row r="16" spans="1:9" x14ac:dyDescent="0.6">
      <c r="A16" s="2" t="s">
        <v>40</v>
      </c>
      <c r="B16" s="2" t="s">
        <v>10</v>
      </c>
      <c r="C16" s="2" t="s">
        <v>41</v>
      </c>
      <c r="D16" s="5" t="s">
        <v>15</v>
      </c>
      <c r="E16" s="2" t="s">
        <v>12</v>
      </c>
      <c r="F16" s="4">
        <f>PROJECT_START+9</f>
        <v>46049</v>
      </c>
      <c r="G16" s="4">
        <f t="shared" si="0"/>
        <v>46111</v>
      </c>
      <c r="H16" s="2">
        <v>62</v>
      </c>
      <c r="I16" s="2"/>
    </row>
    <row r="17" spans="1:9" x14ac:dyDescent="0.6">
      <c r="A17" s="2" t="s">
        <v>42</v>
      </c>
      <c r="B17" s="2" t="s">
        <v>10</v>
      </c>
      <c r="C17" s="2" t="s">
        <v>43</v>
      </c>
      <c r="D17" s="5" t="s">
        <v>15</v>
      </c>
      <c r="E17" s="2" t="s">
        <v>12</v>
      </c>
      <c r="F17" s="4">
        <f>PROJECT_START+9</f>
        <v>46049</v>
      </c>
      <c r="G17" s="4">
        <f t="shared" si="0"/>
        <v>46051</v>
      </c>
      <c r="H17" s="2">
        <v>2</v>
      </c>
      <c r="I17" s="2"/>
    </row>
    <row r="18" spans="1:9" x14ac:dyDescent="0.6">
      <c r="A18" s="2" t="s">
        <v>245</v>
      </c>
      <c r="B18" s="2" t="s">
        <v>10</v>
      </c>
      <c r="C18" s="2" t="s">
        <v>45</v>
      </c>
      <c r="D18" s="5" t="s">
        <v>15</v>
      </c>
      <c r="E18" s="2" t="s">
        <v>12</v>
      </c>
      <c r="F18" s="4">
        <f>PROJECT_START+9</f>
        <v>46049</v>
      </c>
      <c r="G18" s="4">
        <f t="shared" si="0"/>
        <v>46049</v>
      </c>
      <c r="H18" s="2">
        <f>DUR_BUF</f>
        <v>0</v>
      </c>
      <c r="I18" s="2"/>
    </row>
    <row r="19" spans="1:9" x14ac:dyDescent="0.6">
      <c r="A19" s="2" t="s">
        <v>246</v>
      </c>
      <c r="B19" s="2" t="s">
        <v>10</v>
      </c>
      <c r="C19" s="2" t="s">
        <v>47</v>
      </c>
      <c r="D19" s="5" t="s">
        <v>15</v>
      </c>
      <c r="E19" s="2" t="s">
        <v>12</v>
      </c>
      <c r="F19" s="4">
        <f>PROJECT_START+10</f>
        <v>46050</v>
      </c>
      <c r="G19" s="4">
        <f t="shared" si="0"/>
        <v>46050</v>
      </c>
      <c r="H19" s="2">
        <f>DUR_BUF</f>
        <v>0</v>
      </c>
      <c r="I19" s="2"/>
    </row>
    <row r="20" spans="1:9" x14ac:dyDescent="0.6">
      <c r="A20" s="2" t="s">
        <v>58</v>
      </c>
      <c r="B20" s="2" t="s">
        <v>10</v>
      </c>
      <c r="C20" s="2" t="s">
        <v>59</v>
      </c>
      <c r="D20" s="6" t="s">
        <v>60</v>
      </c>
      <c r="E20" s="2" t="s">
        <v>12</v>
      </c>
      <c r="F20" s="4">
        <f>PROJECT_START+9</f>
        <v>46049</v>
      </c>
      <c r="G20" s="4">
        <f t="shared" si="0"/>
        <v>46051</v>
      </c>
      <c r="H20" s="2">
        <v>2</v>
      </c>
      <c r="I20" s="2"/>
    </row>
    <row r="21" spans="1:9" x14ac:dyDescent="0.6">
      <c r="A21" s="2" t="s">
        <v>58</v>
      </c>
      <c r="B21" s="2" t="s">
        <v>10</v>
      </c>
      <c r="C21" s="2" t="s">
        <v>62</v>
      </c>
      <c r="D21" s="6" t="s">
        <v>60</v>
      </c>
      <c r="E21" s="2" t="s">
        <v>12</v>
      </c>
      <c r="F21" s="4">
        <f>PROJECT_START+9</f>
        <v>46049</v>
      </c>
      <c r="G21" s="4">
        <f t="shared" si="0"/>
        <v>46049</v>
      </c>
      <c r="H21" s="2">
        <f>DUR_BUF</f>
        <v>0</v>
      </c>
      <c r="I21" s="2"/>
    </row>
    <row r="22" spans="1:9" x14ac:dyDescent="0.6">
      <c r="A22" s="2" t="s">
        <v>58</v>
      </c>
      <c r="B22" s="2" t="s">
        <v>10</v>
      </c>
      <c r="C22" s="2" t="s">
        <v>64</v>
      </c>
      <c r="D22" s="6" t="s">
        <v>60</v>
      </c>
      <c r="E22" s="2" t="s">
        <v>12</v>
      </c>
      <c r="F22" s="4">
        <f>PROJECT_START+10</f>
        <v>46050</v>
      </c>
      <c r="G22" s="4">
        <f t="shared" si="0"/>
        <v>46050</v>
      </c>
      <c r="H22" s="2">
        <f>DUR_BUF</f>
        <v>0</v>
      </c>
      <c r="I22" s="2"/>
    </row>
    <row r="23" spans="1:9" x14ac:dyDescent="0.6">
      <c r="A23" s="2" t="s">
        <v>170</v>
      </c>
      <c r="B23" s="2" t="s">
        <v>10</v>
      </c>
      <c r="C23" s="2" t="s">
        <v>66</v>
      </c>
      <c r="D23" s="5" t="s">
        <v>15</v>
      </c>
      <c r="E23" s="2" t="s">
        <v>12</v>
      </c>
      <c r="F23" s="4">
        <f t="shared" ref="F23:F28" si="1">PROJECT_START+11</f>
        <v>46051</v>
      </c>
      <c r="G23" s="4">
        <f t="shared" si="0"/>
        <v>46067</v>
      </c>
      <c r="H23" s="2">
        <v>16</v>
      </c>
      <c r="I23" s="2"/>
    </row>
    <row r="24" spans="1:9" x14ac:dyDescent="0.6">
      <c r="A24" s="2" t="s">
        <v>247</v>
      </c>
      <c r="B24" s="2" t="s">
        <v>10</v>
      </c>
      <c r="C24" s="2" t="s">
        <v>68</v>
      </c>
      <c r="D24" s="5" t="s">
        <v>15</v>
      </c>
      <c r="E24" s="2" t="s">
        <v>12</v>
      </c>
      <c r="F24" s="4">
        <f t="shared" si="1"/>
        <v>46051</v>
      </c>
      <c r="G24" s="4">
        <f t="shared" si="0"/>
        <v>46051.3</v>
      </c>
      <c r="H24" s="2">
        <v>0.3</v>
      </c>
      <c r="I24" s="2"/>
    </row>
    <row r="25" spans="1:9" x14ac:dyDescent="0.6">
      <c r="A25" s="2" t="s">
        <v>248</v>
      </c>
      <c r="B25" s="2" t="s">
        <v>10</v>
      </c>
      <c r="C25" s="2" t="s">
        <v>70</v>
      </c>
      <c r="D25" s="5" t="s">
        <v>15</v>
      </c>
      <c r="E25" s="2" t="s">
        <v>12</v>
      </c>
      <c r="F25" s="4">
        <f t="shared" si="1"/>
        <v>46051</v>
      </c>
      <c r="G25" s="4">
        <f t="shared" si="0"/>
        <v>46051.3</v>
      </c>
      <c r="H25" s="2">
        <v>0.3</v>
      </c>
      <c r="I25" s="2"/>
    </row>
    <row r="26" spans="1:9" x14ac:dyDescent="0.6">
      <c r="A26" s="2" t="s">
        <v>249</v>
      </c>
      <c r="B26" s="2" t="s">
        <v>10</v>
      </c>
      <c r="C26" s="2" t="s">
        <v>250</v>
      </c>
      <c r="D26" s="7" t="s">
        <v>73</v>
      </c>
      <c r="E26" s="2" t="s">
        <v>12</v>
      </c>
      <c r="F26" s="4">
        <f t="shared" si="1"/>
        <v>46051</v>
      </c>
      <c r="G26" s="4">
        <f t="shared" si="0"/>
        <v>46051.199999999997</v>
      </c>
      <c r="H26" s="2">
        <v>0.2</v>
      </c>
      <c r="I26" s="2"/>
    </row>
    <row r="27" spans="1:9" x14ac:dyDescent="0.6">
      <c r="A27" s="2" t="s">
        <v>251</v>
      </c>
      <c r="B27" s="2" t="s">
        <v>10</v>
      </c>
      <c r="C27" s="2" t="s">
        <v>75</v>
      </c>
      <c r="D27" s="8" t="s">
        <v>76</v>
      </c>
      <c r="E27" s="2" t="s">
        <v>12</v>
      </c>
      <c r="F27" s="4">
        <f t="shared" si="1"/>
        <v>46051</v>
      </c>
      <c r="G27" s="4">
        <f t="shared" si="0"/>
        <v>46051</v>
      </c>
      <c r="H27" s="2">
        <f>DUR_BUF</f>
        <v>0</v>
      </c>
      <c r="I27" s="2"/>
    </row>
    <row r="28" spans="1:9" x14ac:dyDescent="0.6">
      <c r="A28" s="2" t="s">
        <v>252</v>
      </c>
      <c r="B28" s="2" t="s">
        <v>10</v>
      </c>
      <c r="C28" s="2" t="s">
        <v>78</v>
      </c>
      <c r="D28" s="5" t="s">
        <v>15</v>
      </c>
      <c r="E28" s="2" t="s">
        <v>12</v>
      </c>
      <c r="F28" s="4">
        <f t="shared" si="1"/>
        <v>46051</v>
      </c>
      <c r="G28" s="4">
        <f t="shared" si="0"/>
        <v>46051</v>
      </c>
      <c r="H28" s="2">
        <f>DUR_BUF</f>
        <v>0</v>
      </c>
      <c r="I28" s="2"/>
    </row>
    <row r="29" spans="1:9" x14ac:dyDescent="0.6">
      <c r="A29" s="2" t="s">
        <v>253</v>
      </c>
      <c r="B29" s="2" t="s">
        <v>10</v>
      </c>
      <c r="C29" s="2" t="s">
        <v>80</v>
      </c>
      <c r="D29" s="5" t="s">
        <v>15</v>
      </c>
      <c r="E29" s="2" t="s">
        <v>12</v>
      </c>
      <c r="F29" s="4">
        <f>PROJECT_START+12</f>
        <v>46052</v>
      </c>
      <c r="G29" s="4">
        <f t="shared" si="0"/>
        <v>46052.05</v>
      </c>
      <c r="H29" s="2">
        <v>0.05</v>
      </c>
      <c r="I29" s="2"/>
    </row>
    <row r="30" spans="1:9" x14ac:dyDescent="0.6">
      <c r="A30" s="2" t="s">
        <v>254</v>
      </c>
      <c r="B30" s="2" t="s">
        <v>10</v>
      </c>
      <c r="C30" s="2" t="s">
        <v>82</v>
      </c>
      <c r="D30" s="5" t="s">
        <v>15</v>
      </c>
      <c r="E30" s="2" t="s">
        <v>12</v>
      </c>
      <c r="F30" s="4">
        <f>PROJECT_START+12</f>
        <v>46052</v>
      </c>
      <c r="G30" s="4">
        <f t="shared" si="0"/>
        <v>46052.3</v>
      </c>
      <c r="H30" s="2">
        <v>0.3</v>
      </c>
      <c r="I30" s="2"/>
    </row>
    <row r="31" spans="1:9" x14ac:dyDescent="0.6">
      <c r="A31" s="2" t="s">
        <v>255</v>
      </c>
      <c r="B31" s="2" t="s">
        <v>10</v>
      </c>
      <c r="C31" s="2" t="s">
        <v>256</v>
      </c>
      <c r="D31" s="7" t="s">
        <v>73</v>
      </c>
      <c r="E31" s="2" t="s">
        <v>12</v>
      </c>
      <c r="F31" s="4">
        <f>PROJECT_START+12</f>
        <v>46052</v>
      </c>
      <c r="G31" s="4">
        <f t="shared" si="0"/>
        <v>46052.3</v>
      </c>
      <c r="H31" s="2">
        <v>0.3</v>
      </c>
      <c r="I31" s="2"/>
    </row>
    <row r="32" spans="1:9" x14ac:dyDescent="0.6">
      <c r="A32" s="2" t="s">
        <v>257</v>
      </c>
      <c r="B32" s="2" t="s">
        <v>10</v>
      </c>
      <c r="C32" s="2" t="s">
        <v>86</v>
      </c>
      <c r="D32" s="8" t="s">
        <v>76</v>
      </c>
      <c r="E32" s="2" t="s">
        <v>12</v>
      </c>
      <c r="F32" s="4">
        <f>PROJECT_START+12</f>
        <v>46052</v>
      </c>
      <c r="G32" s="4">
        <f t="shared" si="0"/>
        <v>46052</v>
      </c>
      <c r="H32" s="2">
        <f>DUR_BUF</f>
        <v>0</v>
      </c>
      <c r="I32" s="2"/>
    </row>
    <row r="33" spans="1:9" x14ac:dyDescent="0.6">
      <c r="A33" s="2" t="s">
        <v>258</v>
      </c>
      <c r="B33" s="2" t="s">
        <v>10</v>
      </c>
      <c r="C33" s="2" t="s">
        <v>259</v>
      </c>
      <c r="D33" s="9" t="s">
        <v>91</v>
      </c>
      <c r="E33" s="2" t="s">
        <v>12</v>
      </c>
      <c r="F33" s="4">
        <f>PROJECT_START+13</f>
        <v>46053</v>
      </c>
      <c r="G33" s="4">
        <f t="shared" si="0"/>
        <v>46053</v>
      </c>
      <c r="H33" s="2">
        <f>DUR_SAIL</f>
        <v>0</v>
      </c>
      <c r="I33" s="2"/>
    </row>
    <row r="34" spans="1:9" x14ac:dyDescent="0.6">
      <c r="A34" s="2" t="s">
        <v>260</v>
      </c>
      <c r="B34" s="2" t="s">
        <v>10</v>
      </c>
      <c r="C34" s="2" t="s">
        <v>93</v>
      </c>
      <c r="D34" s="5" t="s">
        <v>15</v>
      </c>
      <c r="E34" s="2" t="s">
        <v>12</v>
      </c>
      <c r="F34" s="4">
        <f>PROJECT_START+13</f>
        <v>46053</v>
      </c>
      <c r="G34" s="4">
        <f t="shared" si="0"/>
        <v>46053</v>
      </c>
      <c r="H34" s="2">
        <f>DUR_BUF</f>
        <v>0</v>
      </c>
      <c r="I34" s="2"/>
    </row>
    <row r="35" spans="1:9" x14ac:dyDescent="0.6">
      <c r="A35" s="2" t="s">
        <v>261</v>
      </c>
      <c r="B35" s="2" t="s">
        <v>10</v>
      </c>
      <c r="C35" s="2" t="s">
        <v>95</v>
      </c>
      <c r="D35" s="10" t="s">
        <v>96</v>
      </c>
      <c r="E35" s="2" t="s">
        <v>12</v>
      </c>
      <c r="F35" s="4">
        <f>PROJECT_START+14</f>
        <v>46054</v>
      </c>
      <c r="G35" s="4">
        <f t="shared" si="0"/>
        <v>46054</v>
      </c>
      <c r="H35" s="2">
        <f>DUR_BUF</f>
        <v>0</v>
      </c>
      <c r="I35" s="2"/>
    </row>
    <row r="36" spans="1:9" x14ac:dyDescent="0.6">
      <c r="A36" s="2" t="s">
        <v>262</v>
      </c>
      <c r="B36" s="2" t="s">
        <v>10</v>
      </c>
      <c r="C36" s="2" t="s">
        <v>98</v>
      </c>
      <c r="D36" s="5" t="s">
        <v>15</v>
      </c>
      <c r="E36" s="2" t="s">
        <v>12</v>
      </c>
      <c r="F36" s="4">
        <f>PROJECT_START+14</f>
        <v>46054</v>
      </c>
      <c r="G36" s="4">
        <f t="shared" si="0"/>
        <v>46054</v>
      </c>
      <c r="H36" s="2">
        <f>DUR_BUF</f>
        <v>0</v>
      </c>
      <c r="I36" s="2"/>
    </row>
    <row r="37" spans="1:9" x14ac:dyDescent="0.6">
      <c r="A37" s="2" t="s">
        <v>263</v>
      </c>
      <c r="B37" s="2" t="s">
        <v>10</v>
      </c>
      <c r="C37" s="2" t="s">
        <v>100</v>
      </c>
      <c r="D37" s="7" t="s">
        <v>73</v>
      </c>
      <c r="E37" s="2" t="s">
        <v>12</v>
      </c>
      <c r="F37" s="4">
        <f>PROJECT_START+15</f>
        <v>46055</v>
      </c>
      <c r="G37" s="4">
        <f t="shared" si="0"/>
        <v>46055</v>
      </c>
      <c r="H37" s="2">
        <f>DUR_UL</f>
        <v>0</v>
      </c>
      <c r="I37" s="2"/>
    </row>
    <row r="38" spans="1:9" x14ac:dyDescent="0.6">
      <c r="A38" s="2" t="s">
        <v>264</v>
      </c>
      <c r="B38" s="2" t="s">
        <v>10</v>
      </c>
      <c r="C38" s="2" t="s">
        <v>102</v>
      </c>
      <c r="D38" s="7" t="s">
        <v>73</v>
      </c>
      <c r="E38" s="2" t="s">
        <v>12</v>
      </c>
      <c r="F38" s="4">
        <f>PROJECT_START+16</f>
        <v>46056</v>
      </c>
      <c r="G38" s="4">
        <f t="shared" si="0"/>
        <v>46056</v>
      </c>
      <c r="H38" s="2">
        <f>DUR_UL</f>
        <v>0</v>
      </c>
      <c r="I38" s="2"/>
    </row>
    <row r="39" spans="1:9" x14ac:dyDescent="0.6">
      <c r="A39" s="2" t="s">
        <v>265</v>
      </c>
      <c r="B39" s="2" t="s">
        <v>10</v>
      </c>
      <c r="C39" s="2" t="s">
        <v>106</v>
      </c>
      <c r="D39" s="5" t="s">
        <v>15</v>
      </c>
      <c r="E39" s="2" t="s">
        <v>12</v>
      </c>
      <c r="F39" s="4">
        <f>PROJECT_START+17</f>
        <v>46057</v>
      </c>
      <c r="G39" s="4">
        <f t="shared" si="0"/>
        <v>46057.3</v>
      </c>
      <c r="H39" s="2">
        <v>0.3</v>
      </c>
      <c r="I39" s="2"/>
    </row>
    <row r="40" spans="1:9" x14ac:dyDescent="0.6">
      <c r="A40" s="2" t="s">
        <v>266</v>
      </c>
      <c r="B40" s="2" t="s">
        <v>10</v>
      </c>
      <c r="C40" s="2" t="s">
        <v>108</v>
      </c>
      <c r="D40" s="5" t="s">
        <v>15</v>
      </c>
      <c r="E40" s="2" t="s">
        <v>12</v>
      </c>
      <c r="F40" s="4">
        <f>PROJECT_START+17</f>
        <v>46057</v>
      </c>
      <c r="G40" s="4">
        <f t="shared" si="0"/>
        <v>46057.7</v>
      </c>
      <c r="H40" s="2">
        <v>0.7</v>
      </c>
      <c r="I40" s="2"/>
    </row>
    <row r="41" spans="1:9" x14ac:dyDescent="0.6">
      <c r="A41" s="2" t="s">
        <v>267</v>
      </c>
      <c r="B41" s="2" t="s">
        <v>10</v>
      </c>
      <c r="C41" s="2" t="s">
        <v>110</v>
      </c>
      <c r="D41" s="11" t="s">
        <v>111</v>
      </c>
      <c r="E41" s="2" t="s">
        <v>12</v>
      </c>
      <c r="F41" s="4">
        <f>PROJECT_START+18</f>
        <v>46058</v>
      </c>
      <c r="G41" s="4">
        <f t="shared" si="0"/>
        <v>46058</v>
      </c>
      <c r="H41" s="2">
        <f>DUR_TURN</f>
        <v>0</v>
      </c>
      <c r="I41" s="2"/>
    </row>
    <row r="42" spans="1:9" x14ac:dyDescent="0.6">
      <c r="A42" s="12" t="s">
        <v>268</v>
      </c>
      <c r="B42" s="12" t="s">
        <v>10</v>
      </c>
      <c r="C42" s="12" t="s">
        <v>113</v>
      </c>
      <c r="D42" s="13" t="s">
        <v>114</v>
      </c>
      <c r="E42" s="12" t="s">
        <v>12</v>
      </c>
      <c r="F42" s="14">
        <f>PROJECT_START+21</f>
        <v>46061</v>
      </c>
      <c r="G42" s="14">
        <f t="shared" si="0"/>
        <v>46061</v>
      </c>
      <c r="H42" s="12">
        <f>DUR_JD</f>
        <v>0</v>
      </c>
      <c r="I42" s="12"/>
    </row>
    <row r="43" spans="1:9" x14ac:dyDescent="0.6">
      <c r="A43" s="2" t="s">
        <v>269</v>
      </c>
      <c r="B43" s="2" t="s">
        <v>10</v>
      </c>
      <c r="C43" s="2" t="s">
        <v>116</v>
      </c>
      <c r="D43" s="5" t="s">
        <v>15</v>
      </c>
      <c r="E43" s="2" t="s">
        <v>12</v>
      </c>
      <c r="F43" s="4">
        <f>PROJECT_START+21</f>
        <v>46061</v>
      </c>
      <c r="G43" s="4">
        <f t="shared" si="0"/>
        <v>46061.3</v>
      </c>
      <c r="H43" s="2">
        <v>0.3</v>
      </c>
      <c r="I43" s="2"/>
    </row>
    <row r="44" spans="1:9" x14ac:dyDescent="0.6">
      <c r="A44" s="2" t="s">
        <v>270</v>
      </c>
      <c r="B44" s="2" t="s">
        <v>10</v>
      </c>
      <c r="C44" s="2" t="s">
        <v>118</v>
      </c>
      <c r="D44" s="5" t="s">
        <v>15</v>
      </c>
      <c r="E44" s="2" t="s">
        <v>12</v>
      </c>
      <c r="F44" s="4">
        <f>PROJECT_START+21</f>
        <v>46061</v>
      </c>
      <c r="G44" s="4">
        <f t="shared" si="0"/>
        <v>46061.7</v>
      </c>
      <c r="H44" s="2">
        <v>0.7</v>
      </c>
      <c r="I44" s="2"/>
    </row>
    <row r="45" spans="1:9" x14ac:dyDescent="0.6">
      <c r="A45" s="2" t="s">
        <v>271</v>
      </c>
      <c r="B45" s="2" t="s">
        <v>10</v>
      </c>
      <c r="C45" s="2" t="s">
        <v>120</v>
      </c>
      <c r="D45" s="11" t="s">
        <v>111</v>
      </c>
      <c r="E45" s="2" t="s">
        <v>12</v>
      </c>
      <c r="F45" s="4">
        <f>PROJECT_START+22</f>
        <v>46062</v>
      </c>
      <c r="G45" s="4">
        <f t="shared" si="0"/>
        <v>46062</v>
      </c>
      <c r="H45" s="2">
        <f>DUR_TURN</f>
        <v>0</v>
      </c>
      <c r="I45" s="2"/>
    </row>
    <row r="46" spans="1:9" x14ac:dyDescent="0.6">
      <c r="A46" s="12" t="s">
        <v>272</v>
      </c>
      <c r="B46" s="12" t="s">
        <v>10</v>
      </c>
      <c r="C46" s="12" t="s">
        <v>124</v>
      </c>
      <c r="D46" s="13" t="s">
        <v>114</v>
      </c>
      <c r="E46" s="12" t="s">
        <v>12</v>
      </c>
      <c r="F46" s="14">
        <f>PROJECT_START+25</f>
        <v>46065</v>
      </c>
      <c r="G46" s="14">
        <f t="shared" si="0"/>
        <v>46065</v>
      </c>
      <c r="H46" s="12">
        <f>DUR_JD</f>
        <v>0</v>
      </c>
      <c r="I46" s="12"/>
    </row>
    <row r="47" spans="1:9" x14ac:dyDescent="0.6">
      <c r="A47" s="2" t="s">
        <v>273</v>
      </c>
      <c r="B47" s="2" t="s">
        <v>10</v>
      </c>
      <c r="C47" s="2" t="s">
        <v>274</v>
      </c>
      <c r="D47" s="5" t="s">
        <v>15</v>
      </c>
      <c r="E47" s="2" t="s">
        <v>12</v>
      </c>
      <c r="F47" s="4">
        <f>PROJECT_START+24</f>
        <v>46064</v>
      </c>
      <c r="G47" s="4">
        <f t="shared" si="0"/>
        <v>46064</v>
      </c>
      <c r="H47" s="2">
        <f>DUR_BUF</f>
        <v>0</v>
      </c>
      <c r="I47" s="2"/>
    </row>
    <row r="48" spans="1:9" x14ac:dyDescent="0.6">
      <c r="A48" s="2" t="s">
        <v>9</v>
      </c>
      <c r="B48" s="2" t="s">
        <v>10</v>
      </c>
      <c r="C48" s="2" t="s">
        <v>275</v>
      </c>
      <c r="D48" s="3" t="s">
        <v>11</v>
      </c>
      <c r="E48" s="2" t="s">
        <v>12</v>
      </c>
      <c r="F48" s="4">
        <f>PROJECT_START+25</f>
        <v>46065</v>
      </c>
      <c r="G48" s="4">
        <f t="shared" si="0"/>
        <v>46065</v>
      </c>
      <c r="H48" s="2">
        <f>DUR_MOB</f>
        <v>0</v>
      </c>
      <c r="I48" s="2"/>
    </row>
    <row r="49" spans="1:9" x14ac:dyDescent="0.6">
      <c r="A49" s="2" t="s">
        <v>9</v>
      </c>
      <c r="B49" s="2" t="s">
        <v>10</v>
      </c>
      <c r="C49" s="2" t="s">
        <v>276</v>
      </c>
      <c r="D49" s="3" t="s">
        <v>11</v>
      </c>
      <c r="E49" s="2" t="s">
        <v>12</v>
      </c>
      <c r="F49" s="4">
        <f>PROJECT_START+26</f>
        <v>46066</v>
      </c>
      <c r="G49" s="4">
        <f t="shared" si="0"/>
        <v>46066</v>
      </c>
      <c r="H49" s="2">
        <f>DUR_MOB</f>
        <v>0</v>
      </c>
      <c r="I49" s="2"/>
    </row>
    <row r="50" spans="1:9" x14ac:dyDescent="0.6">
      <c r="A50" s="2" t="s">
        <v>277</v>
      </c>
      <c r="B50" s="2" t="s">
        <v>10</v>
      </c>
      <c r="C50" s="2" t="s">
        <v>126</v>
      </c>
      <c r="D50" s="5" t="s">
        <v>15</v>
      </c>
      <c r="E50" s="2" t="s">
        <v>12</v>
      </c>
      <c r="F50" s="4">
        <f>PROJECT_START+26</f>
        <v>46066</v>
      </c>
      <c r="G50" s="4">
        <f t="shared" si="0"/>
        <v>46084</v>
      </c>
      <c r="H50" s="2">
        <v>18</v>
      </c>
      <c r="I50" s="2"/>
    </row>
    <row r="51" spans="1:9" x14ac:dyDescent="0.6">
      <c r="A51" s="2" t="s">
        <v>58</v>
      </c>
      <c r="B51" s="2" t="s">
        <v>10</v>
      </c>
      <c r="C51" s="2" t="s">
        <v>278</v>
      </c>
      <c r="D51" s="6" t="s">
        <v>60</v>
      </c>
      <c r="E51" s="2" t="s">
        <v>12</v>
      </c>
      <c r="F51" s="4">
        <f>PROJECT_START+26</f>
        <v>46066</v>
      </c>
      <c r="G51" s="4">
        <f t="shared" si="0"/>
        <v>46066</v>
      </c>
      <c r="H51" s="2">
        <f>DUR_UL</f>
        <v>0</v>
      </c>
      <c r="I51" s="2"/>
    </row>
    <row r="52" spans="1:9" x14ac:dyDescent="0.6">
      <c r="A52" s="2" t="s">
        <v>279</v>
      </c>
      <c r="B52" s="2" t="s">
        <v>10</v>
      </c>
      <c r="C52" s="2" t="s">
        <v>280</v>
      </c>
      <c r="D52" s="5" t="s">
        <v>15</v>
      </c>
      <c r="E52" s="2" t="s">
        <v>12</v>
      </c>
      <c r="F52" s="4">
        <f>PROJECT_START+26</f>
        <v>46066</v>
      </c>
      <c r="G52" s="4">
        <f t="shared" si="0"/>
        <v>46066</v>
      </c>
      <c r="H52" s="2">
        <f>DUR_BUF</f>
        <v>0</v>
      </c>
      <c r="I52" s="2"/>
    </row>
    <row r="53" spans="1:9" x14ac:dyDescent="0.6">
      <c r="A53" s="2" t="s">
        <v>281</v>
      </c>
      <c r="B53" s="2" t="s">
        <v>10</v>
      </c>
      <c r="C53" s="2" t="s">
        <v>130</v>
      </c>
      <c r="D53" s="5" t="s">
        <v>15</v>
      </c>
      <c r="E53" s="2" t="s">
        <v>12</v>
      </c>
      <c r="F53" s="4">
        <f>PROJECT_START+27</f>
        <v>46067</v>
      </c>
      <c r="G53" s="4">
        <f t="shared" si="0"/>
        <v>46067.3</v>
      </c>
      <c r="H53" s="2">
        <v>0.3</v>
      </c>
      <c r="I53" s="2"/>
    </row>
    <row r="54" spans="1:9" x14ac:dyDescent="0.6">
      <c r="A54" s="2" t="s">
        <v>282</v>
      </c>
      <c r="B54" s="2" t="s">
        <v>10</v>
      </c>
      <c r="C54" s="2" t="s">
        <v>70</v>
      </c>
      <c r="D54" s="5" t="s">
        <v>15</v>
      </c>
      <c r="E54" s="2" t="s">
        <v>12</v>
      </c>
      <c r="F54" s="4">
        <f>PROJECT_START+27</f>
        <v>46067</v>
      </c>
      <c r="G54" s="4">
        <f t="shared" si="0"/>
        <v>46067.3</v>
      </c>
      <c r="H54" s="2">
        <v>0.3</v>
      </c>
      <c r="I54" s="2"/>
    </row>
    <row r="55" spans="1:9" x14ac:dyDescent="0.6">
      <c r="A55" s="2" t="s">
        <v>283</v>
      </c>
      <c r="B55" s="2" t="s">
        <v>10</v>
      </c>
      <c r="C55" s="2" t="s">
        <v>133</v>
      </c>
      <c r="D55" s="7" t="s">
        <v>73</v>
      </c>
      <c r="E55" s="2" t="s">
        <v>12</v>
      </c>
      <c r="F55" s="4">
        <f>PROJECT_START+27</f>
        <v>46067</v>
      </c>
      <c r="G55" s="4">
        <f t="shared" si="0"/>
        <v>46067.199999999997</v>
      </c>
      <c r="H55" s="2">
        <v>0.2</v>
      </c>
      <c r="I55" s="2"/>
    </row>
    <row r="56" spans="1:9" x14ac:dyDescent="0.6">
      <c r="A56" s="2" t="s">
        <v>284</v>
      </c>
      <c r="B56" s="2" t="s">
        <v>10</v>
      </c>
      <c r="C56" s="2" t="s">
        <v>135</v>
      </c>
      <c r="D56" s="8" t="s">
        <v>76</v>
      </c>
      <c r="E56" s="2" t="s">
        <v>12</v>
      </c>
      <c r="F56" s="4">
        <f>PROJECT_START+27</f>
        <v>46067</v>
      </c>
      <c r="G56" s="4">
        <f t="shared" si="0"/>
        <v>46067</v>
      </c>
      <c r="H56" s="2">
        <f>DUR_BUF</f>
        <v>0</v>
      </c>
      <c r="I56" s="2"/>
    </row>
    <row r="57" spans="1:9" x14ac:dyDescent="0.6">
      <c r="A57" s="2" t="s">
        <v>285</v>
      </c>
      <c r="B57" s="2" t="s">
        <v>10</v>
      </c>
      <c r="C57" s="2" t="s">
        <v>286</v>
      </c>
      <c r="D57" s="5" t="s">
        <v>15</v>
      </c>
      <c r="E57" s="2" t="s">
        <v>12</v>
      </c>
      <c r="F57" s="4">
        <f>PROJECT_START+27</f>
        <v>46067</v>
      </c>
      <c r="G57" s="4">
        <f t="shared" si="0"/>
        <v>46067.7</v>
      </c>
      <c r="H57" s="2">
        <v>0.7</v>
      </c>
      <c r="I57" s="2"/>
    </row>
    <row r="58" spans="1:9" x14ac:dyDescent="0.6">
      <c r="A58" s="2" t="s">
        <v>287</v>
      </c>
      <c r="B58" s="2" t="s">
        <v>10</v>
      </c>
      <c r="C58" s="2" t="s">
        <v>137</v>
      </c>
      <c r="D58" s="5" t="s">
        <v>15</v>
      </c>
      <c r="E58" s="2" t="s">
        <v>12</v>
      </c>
      <c r="F58" s="4">
        <f>PROJECT_START+28</f>
        <v>46068</v>
      </c>
      <c r="G58" s="4">
        <f t="shared" si="0"/>
        <v>46068.3</v>
      </c>
      <c r="H58" s="2">
        <v>0.3</v>
      </c>
      <c r="I58" s="2"/>
    </row>
    <row r="59" spans="1:9" x14ac:dyDescent="0.6">
      <c r="A59" s="2" t="s">
        <v>288</v>
      </c>
      <c r="B59" s="2" t="s">
        <v>10</v>
      </c>
      <c r="C59" s="2" t="s">
        <v>139</v>
      </c>
      <c r="D59" s="5" t="s">
        <v>15</v>
      </c>
      <c r="E59" s="2" t="s">
        <v>12</v>
      </c>
      <c r="F59" s="4">
        <f>PROJECT_START+28</f>
        <v>46068</v>
      </c>
      <c r="G59" s="4">
        <f t="shared" si="0"/>
        <v>46068.05</v>
      </c>
      <c r="H59" s="2">
        <v>0.05</v>
      </c>
      <c r="I59" s="2"/>
    </row>
    <row r="60" spans="1:9" x14ac:dyDescent="0.6">
      <c r="A60" s="2" t="s">
        <v>289</v>
      </c>
      <c r="B60" s="2" t="s">
        <v>10</v>
      </c>
      <c r="C60" s="2" t="s">
        <v>82</v>
      </c>
      <c r="D60" s="5" t="s">
        <v>15</v>
      </c>
      <c r="E60" s="2" t="s">
        <v>12</v>
      </c>
      <c r="F60" s="4">
        <f>PROJECT_START+28</f>
        <v>46068</v>
      </c>
      <c r="G60" s="4">
        <f t="shared" si="0"/>
        <v>46068.3</v>
      </c>
      <c r="H60" s="2">
        <v>0.3</v>
      </c>
      <c r="I60" s="2"/>
    </row>
    <row r="61" spans="1:9" x14ac:dyDescent="0.6">
      <c r="A61" s="2" t="s">
        <v>290</v>
      </c>
      <c r="B61" s="2" t="s">
        <v>10</v>
      </c>
      <c r="C61" s="2" t="s">
        <v>142</v>
      </c>
      <c r="D61" s="7" t="s">
        <v>73</v>
      </c>
      <c r="E61" s="2" t="s">
        <v>12</v>
      </c>
      <c r="F61" s="4">
        <f>PROJECT_START+28</f>
        <v>46068</v>
      </c>
      <c r="G61" s="4">
        <f t="shared" si="0"/>
        <v>46068.3</v>
      </c>
      <c r="H61" s="2">
        <v>0.3</v>
      </c>
      <c r="I61" s="2"/>
    </row>
    <row r="62" spans="1:9" x14ac:dyDescent="0.6">
      <c r="A62" s="2" t="s">
        <v>291</v>
      </c>
      <c r="B62" s="2" t="s">
        <v>10</v>
      </c>
      <c r="C62" s="2" t="s">
        <v>144</v>
      </c>
      <c r="D62" s="8" t="s">
        <v>76</v>
      </c>
      <c r="E62" s="2" t="s">
        <v>12</v>
      </c>
      <c r="F62" s="4">
        <f>PROJECT_START+28</f>
        <v>46068</v>
      </c>
      <c r="G62" s="4">
        <f t="shared" si="0"/>
        <v>46068</v>
      </c>
      <c r="H62" s="2">
        <f>DUR_BUF</f>
        <v>0</v>
      </c>
      <c r="I62" s="2"/>
    </row>
    <row r="63" spans="1:9" x14ac:dyDescent="0.6">
      <c r="A63" s="2" t="s">
        <v>292</v>
      </c>
      <c r="B63" s="2" t="s">
        <v>10</v>
      </c>
      <c r="C63" s="2" t="s">
        <v>259</v>
      </c>
      <c r="D63" s="9" t="s">
        <v>91</v>
      </c>
      <c r="E63" s="2" t="s">
        <v>12</v>
      </c>
      <c r="F63" s="4">
        <f>PROJECT_START+30</f>
        <v>46070</v>
      </c>
      <c r="G63" s="4">
        <f t="shared" si="0"/>
        <v>46070</v>
      </c>
      <c r="H63" s="2">
        <f>DUR_SAIL</f>
        <v>0</v>
      </c>
      <c r="I63" s="2"/>
    </row>
    <row r="64" spans="1:9" x14ac:dyDescent="0.6">
      <c r="A64" s="2" t="s">
        <v>293</v>
      </c>
      <c r="B64" s="2" t="s">
        <v>10</v>
      </c>
      <c r="C64" s="2" t="s">
        <v>93</v>
      </c>
      <c r="D64" s="5" t="s">
        <v>15</v>
      </c>
      <c r="E64" s="2" t="s">
        <v>12</v>
      </c>
      <c r="F64" s="4">
        <f>PROJECT_START+30</f>
        <v>46070</v>
      </c>
      <c r="G64" s="4">
        <f t="shared" si="0"/>
        <v>46070</v>
      </c>
      <c r="H64" s="2">
        <f>DUR_BUF</f>
        <v>0</v>
      </c>
      <c r="I64" s="2"/>
    </row>
    <row r="65" spans="1:9" x14ac:dyDescent="0.6">
      <c r="A65" s="2" t="s">
        <v>294</v>
      </c>
      <c r="B65" s="2" t="s">
        <v>10</v>
      </c>
      <c r="C65" s="2" t="s">
        <v>95</v>
      </c>
      <c r="D65" s="10" t="s">
        <v>96</v>
      </c>
      <c r="E65" s="2" t="s">
        <v>12</v>
      </c>
      <c r="F65" s="4">
        <f>PROJECT_START+31</f>
        <v>46071</v>
      </c>
      <c r="G65" s="4">
        <f t="shared" si="0"/>
        <v>46071</v>
      </c>
      <c r="H65" s="2">
        <f>DUR_BUF</f>
        <v>0</v>
      </c>
      <c r="I65" s="2"/>
    </row>
    <row r="66" spans="1:9" x14ac:dyDescent="0.6">
      <c r="A66" s="2" t="s">
        <v>295</v>
      </c>
      <c r="B66" s="2" t="s">
        <v>10</v>
      </c>
      <c r="C66" s="2" t="s">
        <v>98</v>
      </c>
      <c r="D66" s="5" t="s">
        <v>15</v>
      </c>
      <c r="E66" s="2" t="s">
        <v>12</v>
      </c>
      <c r="F66" s="4">
        <f>PROJECT_START+31</f>
        <v>46071</v>
      </c>
      <c r="G66" s="4">
        <f t="shared" ref="G66:G125" si="2">F66+H66</f>
        <v>46071</v>
      </c>
      <c r="H66" s="2">
        <f>DUR_BUF</f>
        <v>0</v>
      </c>
      <c r="I66" s="2"/>
    </row>
    <row r="67" spans="1:9" x14ac:dyDescent="0.6">
      <c r="A67" s="2" t="s">
        <v>296</v>
      </c>
      <c r="B67" s="2" t="s">
        <v>10</v>
      </c>
      <c r="C67" s="2" t="s">
        <v>150</v>
      </c>
      <c r="D67" s="7" t="s">
        <v>73</v>
      </c>
      <c r="E67" s="2" t="s">
        <v>12</v>
      </c>
      <c r="F67" s="4">
        <f>PROJECT_START+32</f>
        <v>46072</v>
      </c>
      <c r="G67" s="4">
        <f t="shared" si="2"/>
        <v>46072</v>
      </c>
      <c r="H67" s="2">
        <f>DUR_UL</f>
        <v>0</v>
      </c>
      <c r="I67" s="2"/>
    </row>
    <row r="68" spans="1:9" x14ac:dyDescent="0.6">
      <c r="A68" s="2" t="s">
        <v>297</v>
      </c>
      <c r="B68" s="2" t="s">
        <v>10</v>
      </c>
      <c r="C68" s="2" t="s">
        <v>152</v>
      </c>
      <c r="D68" s="7" t="s">
        <v>73</v>
      </c>
      <c r="E68" s="2" t="s">
        <v>12</v>
      </c>
      <c r="F68" s="4">
        <f>PROJECT_START+33</f>
        <v>46073</v>
      </c>
      <c r="G68" s="4">
        <f t="shared" si="2"/>
        <v>46073</v>
      </c>
      <c r="H68" s="2">
        <f>DUR_UL</f>
        <v>0</v>
      </c>
      <c r="I68" s="2"/>
    </row>
    <row r="69" spans="1:9" x14ac:dyDescent="0.6">
      <c r="A69" s="2" t="s">
        <v>298</v>
      </c>
      <c r="B69" s="2" t="s">
        <v>10</v>
      </c>
      <c r="C69" s="2" t="s">
        <v>106</v>
      </c>
      <c r="D69" s="5" t="s">
        <v>15</v>
      </c>
      <c r="E69" s="2" t="s">
        <v>12</v>
      </c>
      <c r="F69" s="4">
        <f>PROJECT_START+34</f>
        <v>46074</v>
      </c>
      <c r="G69" s="4">
        <f t="shared" si="2"/>
        <v>46074.3</v>
      </c>
      <c r="H69" s="2">
        <v>0.3</v>
      </c>
      <c r="I69" s="2"/>
    </row>
    <row r="70" spans="1:9" x14ac:dyDescent="0.6">
      <c r="A70" s="2" t="s">
        <v>299</v>
      </c>
      <c r="B70" s="2" t="s">
        <v>10</v>
      </c>
      <c r="C70" s="2" t="s">
        <v>157</v>
      </c>
      <c r="D70" s="5" t="s">
        <v>15</v>
      </c>
      <c r="E70" s="2" t="s">
        <v>12</v>
      </c>
      <c r="F70" s="4">
        <f>PROJECT_START+34</f>
        <v>46074</v>
      </c>
      <c r="G70" s="4">
        <f t="shared" si="2"/>
        <v>46074.7</v>
      </c>
      <c r="H70" s="2">
        <v>0.7</v>
      </c>
      <c r="I70" s="2"/>
    </row>
    <row r="71" spans="1:9" x14ac:dyDescent="0.6">
      <c r="A71" s="2" t="s">
        <v>300</v>
      </c>
      <c r="B71" s="2" t="s">
        <v>10</v>
      </c>
      <c r="C71" s="2" t="s">
        <v>159</v>
      </c>
      <c r="D71" s="11" t="s">
        <v>111</v>
      </c>
      <c r="E71" s="2" t="s">
        <v>12</v>
      </c>
      <c r="F71" s="4">
        <f>PROJECT_START+35</f>
        <v>46075</v>
      </c>
      <c r="G71" s="4">
        <f t="shared" si="2"/>
        <v>46075</v>
      </c>
      <c r="H71" s="2">
        <f>DUR_TURN</f>
        <v>0</v>
      </c>
      <c r="I71" s="2"/>
    </row>
    <row r="72" spans="1:9" x14ac:dyDescent="0.6">
      <c r="A72" s="12" t="s">
        <v>301</v>
      </c>
      <c r="B72" s="12" t="s">
        <v>10</v>
      </c>
      <c r="C72" s="12" t="s">
        <v>161</v>
      </c>
      <c r="D72" s="13" t="s">
        <v>114</v>
      </c>
      <c r="E72" s="12" t="s">
        <v>12</v>
      </c>
      <c r="F72" s="14">
        <f>PROJECT_START+38</f>
        <v>46078</v>
      </c>
      <c r="G72" s="14">
        <f t="shared" si="2"/>
        <v>46078</v>
      </c>
      <c r="H72" s="12">
        <f>DUR_JD</f>
        <v>0</v>
      </c>
      <c r="I72" s="12"/>
    </row>
    <row r="73" spans="1:9" x14ac:dyDescent="0.6">
      <c r="A73" s="2" t="s">
        <v>302</v>
      </c>
      <c r="B73" s="2" t="s">
        <v>10</v>
      </c>
      <c r="C73" s="2" t="s">
        <v>116</v>
      </c>
      <c r="D73" s="5" t="s">
        <v>15</v>
      </c>
      <c r="E73" s="2" t="s">
        <v>12</v>
      </c>
      <c r="F73" s="4">
        <f>PROJECT_START+38</f>
        <v>46078</v>
      </c>
      <c r="G73" s="4">
        <f t="shared" si="2"/>
        <v>46078.3</v>
      </c>
      <c r="H73" s="2">
        <v>0.3</v>
      </c>
      <c r="I73" s="2"/>
    </row>
    <row r="74" spans="1:9" x14ac:dyDescent="0.6">
      <c r="A74" s="2" t="s">
        <v>303</v>
      </c>
      <c r="B74" s="2" t="s">
        <v>10</v>
      </c>
      <c r="C74" s="2" t="s">
        <v>164</v>
      </c>
      <c r="D74" s="5" t="s">
        <v>15</v>
      </c>
      <c r="E74" s="2" t="s">
        <v>12</v>
      </c>
      <c r="F74" s="4">
        <f>PROJECT_START+38</f>
        <v>46078</v>
      </c>
      <c r="G74" s="4">
        <f t="shared" si="2"/>
        <v>46078.7</v>
      </c>
      <c r="H74" s="2">
        <v>0.7</v>
      </c>
      <c r="I74" s="2"/>
    </row>
    <row r="75" spans="1:9" x14ac:dyDescent="0.6">
      <c r="A75" s="2" t="s">
        <v>304</v>
      </c>
      <c r="B75" s="2" t="s">
        <v>10</v>
      </c>
      <c r="C75" s="2" t="s">
        <v>166</v>
      </c>
      <c r="D75" s="11" t="s">
        <v>111</v>
      </c>
      <c r="E75" s="2" t="s">
        <v>12</v>
      </c>
      <c r="F75" s="4">
        <f>PROJECT_START+39</f>
        <v>46079</v>
      </c>
      <c r="G75" s="4">
        <f t="shared" si="2"/>
        <v>46079</v>
      </c>
      <c r="H75" s="2">
        <f>DUR_TURN</f>
        <v>0</v>
      </c>
      <c r="I75" s="2"/>
    </row>
    <row r="76" spans="1:9" x14ac:dyDescent="0.6">
      <c r="A76" s="12" t="s">
        <v>305</v>
      </c>
      <c r="B76" s="12" t="s">
        <v>10</v>
      </c>
      <c r="C76" s="12" t="s">
        <v>169</v>
      </c>
      <c r="D76" s="13" t="s">
        <v>114</v>
      </c>
      <c r="E76" s="12" t="s">
        <v>12</v>
      </c>
      <c r="F76" s="14">
        <f>PROJECT_START+42</f>
        <v>46082</v>
      </c>
      <c r="G76" s="14">
        <f t="shared" si="2"/>
        <v>46082</v>
      </c>
      <c r="H76" s="12">
        <f>DUR_JD</f>
        <v>0</v>
      </c>
      <c r="I76" s="12"/>
    </row>
    <row r="77" spans="1:9" x14ac:dyDescent="0.6">
      <c r="A77" s="2" t="s">
        <v>306</v>
      </c>
      <c r="B77" s="2" t="s">
        <v>10</v>
      </c>
      <c r="C77" s="2" t="s">
        <v>274</v>
      </c>
      <c r="D77" s="5" t="s">
        <v>15</v>
      </c>
      <c r="E77" s="2" t="s">
        <v>12</v>
      </c>
      <c r="F77" s="4">
        <f>PROJECT_START+41</f>
        <v>46081</v>
      </c>
      <c r="G77" s="4">
        <f t="shared" si="2"/>
        <v>46081</v>
      </c>
      <c r="H77" s="2">
        <f>DUR_BUF</f>
        <v>0</v>
      </c>
      <c r="I77" s="2"/>
    </row>
    <row r="78" spans="1:9" x14ac:dyDescent="0.6">
      <c r="A78" s="2" t="s">
        <v>9</v>
      </c>
      <c r="B78" s="2" t="s">
        <v>10</v>
      </c>
      <c r="C78" s="2" t="s">
        <v>275</v>
      </c>
      <c r="D78" s="3" t="s">
        <v>11</v>
      </c>
      <c r="E78" s="2" t="s">
        <v>12</v>
      </c>
      <c r="F78" s="4">
        <f>PROJECT_START+42</f>
        <v>46082</v>
      </c>
      <c r="G78" s="4">
        <f t="shared" si="2"/>
        <v>46082</v>
      </c>
      <c r="H78" s="2">
        <f>DUR_MOB</f>
        <v>0</v>
      </c>
      <c r="I78" s="2"/>
    </row>
    <row r="79" spans="1:9" x14ac:dyDescent="0.6">
      <c r="A79" s="2" t="s">
        <v>9</v>
      </c>
      <c r="B79" s="2" t="s">
        <v>10</v>
      </c>
      <c r="C79" s="2" t="s">
        <v>276</v>
      </c>
      <c r="D79" s="3" t="s">
        <v>11</v>
      </c>
      <c r="E79" s="2" t="s">
        <v>12</v>
      </c>
      <c r="F79" s="4">
        <f>PROJECT_START+43</f>
        <v>46083</v>
      </c>
      <c r="G79" s="4">
        <f t="shared" si="2"/>
        <v>46083</v>
      </c>
      <c r="H79" s="2">
        <f>DUR_MOB</f>
        <v>0</v>
      </c>
      <c r="I79" s="2"/>
    </row>
    <row r="80" spans="1:9" x14ac:dyDescent="0.6">
      <c r="A80" s="2" t="s">
        <v>307</v>
      </c>
      <c r="B80" s="2" t="s">
        <v>10</v>
      </c>
      <c r="C80" s="2" t="s">
        <v>308</v>
      </c>
      <c r="D80" s="5" t="s">
        <v>15</v>
      </c>
      <c r="E80" s="2" t="s">
        <v>12</v>
      </c>
      <c r="F80" s="4">
        <f>PROJECT_START+43</f>
        <v>46083</v>
      </c>
      <c r="G80" s="4">
        <f t="shared" si="2"/>
        <v>46101</v>
      </c>
      <c r="H80" s="2">
        <v>18</v>
      </c>
      <c r="I80" s="2"/>
    </row>
    <row r="81" spans="1:9" x14ac:dyDescent="0.6">
      <c r="A81" s="2" t="s">
        <v>58</v>
      </c>
      <c r="B81" s="2" t="s">
        <v>10</v>
      </c>
      <c r="C81" s="2" t="s">
        <v>278</v>
      </c>
      <c r="D81" s="6" t="s">
        <v>60</v>
      </c>
      <c r="E81" s="2" t="s">
        <v>12</v>
      </c>
      <c r="F81" s="4">
        <f>PROJECT_START+43</f>
        <v>46083</v>
      </c>
      <c r="G81" s="4">
        <f t="shared" si="2"/>
        <v>46083</v>
      </c>
      <c r="H81" s="2">
        <f>DUR_UL</f>
        <v>0</v>
      </c>
      <c r="I81" s="2"/>
    </row>
    <row r="82" spans="1:9" x14ac:dyDescent="0.6">
      <c r="A82" s="2" t="s">
        <v>309</v>
      </c>
      <c r="B82" s="2" t="s">
        <v>10</v>
      </c>
      <c r="C82" s="2" t="s">
        <v>310</v>
      </c>
      <c r="D82" s="5" t="s">
        <v>15</v>
      </c>
      <c r="E82" s="2" t="s">
        <v>12</v>
      </c>
      <c r="F82" s="4">
        <f>PROJECT_START+43</f>
        <v>46083</v>
      </c>
      <c r="G82" s="4">
        <f t="shared" si="2"/>
        <v>46083</v>
      </c>
      <c r="H82" s="2">
        <f>DUR_BUF</f>
        <v>0</v>
      </c>
      <c r="I82" s="2"/>
    </row>
    <row r="83" spans="1:9" x14ac:dyDescent="0.6">
      <c r="A83" s="2" t="s">
        <v>311</v>
      </c>
      <c r="B83" s="2" t="s">
        <v>10</v>
      </c>
      <c r="C83" s="2" t="s">
        <v>174</v>
      </c>
      <c r="D83" s="5" t="s">
        <v>15</v>
      </c>
      <c r="E83" s="2" t="s">
        <v>12</v>
      </c>
      <c r="F83" s="4">
        <f>PROJECT_START+44</f>
        <v>46084</v>
      </c>
      <c r="G83" s="4">
        <f t="shared" si="2"/>
        <v>46084.3</v>
      </c>
      <c r="H83" s="2">
        <v>0.3</v>
      </c>
      <c r="I83" s="2"/>
    </row>
    <row r="84" spans="1:9" x14ac:dyDescent="0.6">
      <c r="A84" s="2" t="s">
        <v>312</v>
      </c>
      <c r="B84" s="2" t="s">
        <v>10</v>
      </c>
      <c r="C84" s="2" t="s">
        <v>70</v>
      </c>
      <c r="D84" s="5" t="s">
        <v>15</v>
      </c>
      <c r="E84" s="2" t="s">
        <v>12</v>
      </c>
      <c r="F84" s="4">
        <f>PROJECT_START+44</f>
        <v>46084</v>
      </c>
      <c r="G84" s="4">
        <f t="shared" si="2"/>
        <v>46084.3</v>
      </c>
      <c r="H84" s="2">
        <v>0.3</v>
      </c>
      <c r="I84" s="2"/>
    </row>
    <row r="85" spans="1:9" x14ac:dyDescent="0.6">
      <c r="A85" s="2" t="s">
        <v>313</v>
      </c>
      <c r="B85" s="2" t="s">
        <v>10</v>
      </c>
      <c r="C85" s="2" t="s">
        <v>177</v>
      </c>
      <c r="D85" s="7" t="s">
        <v>73</v>
      </c>
      <c r="E85" s="2" t="s">
        <v>12</v>
      </c>
      <c r="F85" s="4">
        <f>PROJECT_START+44</f>
        <v>46084</v>
      </c>
      <c r="G85" s="4">
        <f t="shared" si="2"/>
        <v>46084.2</v>
      </c>
      <c r="H85" s="2">
        <v>0.2</v>
      </c>
      <c r="I85" s="2"/>
    </row>
    <row r="86" spans="1:9" x14ac:dyDescent="0.6">
      <c r="A86" s="2" t="s">
        <v>314</v>
      </c>
      <c r="B86" s="2" t="s">
        <v>10</v>
      </c>
      <c r="C86" s="2" t="s">
        <v>179</v>
      </c>
      <c r="D86" s="8" t="s">
        <v>76</v>
      </c>
      <c r="E86" s="2" t="s">
        <v>12</v>
      </c>
      <c r="F86" s="4">
        <f>PROJECT_START+44</f>
        <v>46084</v>
      </c>
      <c r="G86" s="4">
        <f t="shared" si="2"/>
        <v>46084</v>
      </c>
      <c r="H86" s="2">
        <f>DUR_BUF</f>
        <v>0</v>
      </c>
      <c r="I86" s="2"/>
    </row>
    <row r="87" spans="1:9" x14ac:dyDescent="0.6">
      <c r="A87" s="2" t="s">
        <v>315</v>
      </c>
      <c r="B87" s="2" t="s">
        <v>10</v>
      </c>
      <c r="C87" s="2" t="s">
        <v>316</v>
      </c>
      <c r="D87" s="5" t="s">
        <v>15</v>
      </c>
      <c r="E87" s="2" t="s">
        <v>12</v>
      </c>
      <c r="F87" s="4">
        <f>PROJECT_START+44</f>
        <v>46084</v>
      </c>
      <c r="G87" s="4">
        <f t="shared" si="2"/>
        <v>46084.7</v>
      </c>
      <c r="H87" s="2">
        <v>0.7</v>
      </c>
      <c r="I87" s="2"/>
    </row>
    <row r="88" spans="1:9" x14ac:dyDescent="0.6">
      <c r="A88" s="2" t="s">
        <v>317</v>
      </c>
      <c r="B88" s="2" t="s">
        <v>10</v>
      </c>
      <c r="C88" s="2" t="s">
        <v>181</v>
      </c>
      <c r="D88" s="5" t="s">
        <v>15</v>
      </c>
      <c r="E88" s="2" t="s">
        <v>12</v>
      </c>
      <c r="F88" s="4">
        <f>PROJECT_START+45</f>
        <v>46085</v>
      </c>
      <c r="G88" s="4">
        <f t="shared" si="2"/>
        <v>46085.3</v>
      </c>
      <c r="H88" s="2">
        <v>0.3</v>
      </c>
      <c r="I88" s="2"/>
    </row>
    <row r="89" spans="1:9" x14ac:dyDescent="0.6">
      <c r="A89" s="2" t="s">
        <v>318</v>
      </c>
      <c r="B89" s="2" t="s">
        <v>10</v>
      </c>
      <c r="C89" s="2" t="s">
        <v>183</v>
      </c>
      <c r="D89" s="5" t="s">
        <v>15</v>
      </c>
      <c r="E89" s="2" t="s">
        <v>12</v>
      </c>
      <c r="F89" s="4">
        <f>PROJECT_START+45</f>
        <v>46085</v>
      </c>
      <c r="G89" s="4">
        <f t="shared" si="2"/>
        <v>46085.05</v>
      </c>
      <c r="H89" s="2">
        <v>0.05</v>
      </c>
      <c r="I89" s="2"/>
    </row>
    <row r="90" spans="1:9" x14ac:dyDescent="0.6">
      <c r="A90" s="2" t="s">
        <v>319</v>
      </c>
      <c r="B90" s="2" t="s">
        <v>10</v>
      </c>
      <c r="C90" s="2" t="s">
        <v>82</v>
      </c>
      <c r="D90" s="5" t="s">
        <v>15</v>
      </c>
      <c r="E90" s="2" t="s">
        <v>12</v>
      </c>
      <c r="F90" s="4">
        <f>PROJECT_START+45</f>
        <v>46085</v>
      </c>
      <c r="G90" s="4">
        <f t="shared" si="2"/>
        <v>46085.3</v>
      </c>
      <c r="H90" s="2">
        <v>0.3</v>
      </c>
      <c r="I90" s="2"/>
    </row>
    <row r="91" spans="1:9" x14ac:dyDescent="0.6">
      <c r="A91" s="2" t="s">
        <v>320</v>
      </c>
      <c r="B91" s="2" t="s">
        <v>10</v>
      </c>
      <c r="C91" s="2" t="s">
        <v>186</v>
      </c>
      <c r="D91" s="7" t="s">
        <v>73</v>
      </c>
      <c r="E91" s="2" t="s">
        <v>12</v>
      </c>
      <c r="F91" s="4">
        <f>PROJECT_START+45</f>
        <v>46085</v>
      </c>
      <c r="G91" s="4">
        <f t="shared" si="2"/>
        <v>46085.3</v>
      </c>
      <c r="H91" s="2">
        <v>0.3</v>
      </c>
      <c r="I91" s="2"/>
    </row>
    <row r="92" spans="1:9" x14ac:dyDescent="0.6">
      <c r="A92" s="2" t="s">
        <v>321</v>
      </c>
      <c r="B92" s="2" t="s">
        <v>10</v>
      </c>
      <c r="C92" s="2" t="s">
        <v>188</v>
      </c>
      <c r="D92" s="8" t="s">
        <v>76</v>
      </c>
      <c r="E92" s="2" t="s">
        <v>12</v>
      </c>
      <c r="F92" s="4">
        <f>PROJECT_START+45</f>
        <v>46085</v>
      </c>
      <c r="G92" s="4">
        <f t="shared" si="2"/>
        <v>46085</v>
      </c>
      <c r="H92" s="2">
        <f>DUR_BUF</f>
        <v>0</v>
      </c>
      <c r="I92" s="2"/>
    </row>
    <row r="93" spans="1:9" x14ac:dyDescent="0.6">
      <c r="A93" s="2" t="s">
        <v>322</v>
      </c>
      <c r="B93" s="2" t="s">
        <v>10</v>
      </c>
      <c r="C93" s="2" t="s">
        <v>259</v>
      </c>
      <c r="D93" s="9" t="s">
        <v>91</v>
      </c>
      <c r="E93" s="2" t="s">
        <v>12</v>
      </c>
      <c r="F93" s="4">
        <f>PROJECT_START+47</f>
        <v>46087</v>
      </c>
      <c r="G93" s="4">
        <f t="shared" si="2"/>
        <v>46087</v>
      </c>
      <c r="H93" s="2">
        <f>DUR_SAIL</f>
        <v>0</v>
      </c>
      <c r="I93" s="2"/>
    </row>
    <row r="94" spans="1:9" x14ac:dyDescent="0.6">
      <c r="A94" s="2" t="s">
        <v>323</v>
      </c>
      <c r="B94" s="2" t="s">
        <v>10</v>
      </c>
      <c r="C94" s="2" t="s">
        <v>93</v>
      </c>
      <c r="D94" s="5" t="s">
        <v>15</v>
      </c>
      <c r="E94" s="2" t="s">
        <v>12</v>
      </c>
      <c r="F94" s="4">
        <f>PROJECT_START+47</f>
        <v>46087</v>
      </c>
      <c r="G94" s="4">
        <f t="shared" si="2"/>
        <v>46087</v>
      </c>
      <c r="H94" s="2">
        <f>DUR_BUF</f>
        <v>0</v>
      </c>
      <c r="I94" s="2"/>
    </row>
    <row r="95" spans="1:9" x14ac:dyDescent="0.6">
      <c r="A95" s="2" t="s">
        <v>324</v>
      </c>
      <c r="B95" s="2" t="s">
        <v>10</v>
      </c>
      <c r="C95" s="2" t="s">
        <v>95</v>
      </c>
      <c r="D95" s="10" t="s">
        <v>96</v>
      </c>
      <c r="E95" s="2" t="s">
        <v>12</v>
      </c>
      <c r="F95" s="4">
        <f>PROJECT_START+48</f>
        <v>46088</v>
      </c>
      <c r="G95" s="4">
        <f t="shared" si="2"/>
        <v>46088</v>
      </c>
      <c r="H95" s="2">
        <f>DUR_BUF</f>
        <v>0</v>
      </c>
      <c r="I95" s="2"/>
    </row>
    <row r="96" spans="1:9" x14ac:dyDescent="0.6">
      <c r="A96" s="2" t="s">
        <v>325</v>
      </c>
      <c r="B96" s="2" t="s">
        <v>10</v>
      </c>
      <c r="C96" s="2" t="s">
        <v>98</v>
      </c>
      <c r="D96" s="5" t="s">
        <v>15</v>
      </c>
      <c r="E96" s="2" t="s">
        <v>12</v>
      </c>
      <c r="F96" s="4">
        <f>PROJECT_START+48</f>
        <v>46088</v>
      </c>
      <c r="G96" s="4">
        <f t="shared" si="2"/>
        <v>46088</v>
      </c>
      <c r="H96" s="2">
        <f>DUR_BUF</f>
        <v>0</v>
      </c>
      <c r="I96" s="2"/>
    </row>
    <row r="97" spans="1:9" x14ac:dyDescent="0.6">
      <c r="A97" s="2" t="s">
        <v>326</v>
      </c>
      <c r="B97" s="2" t="s">
        <v>10</v>
      </c>
      <c r="C97" s="2" t="s">
        <v>194</v>
      </c>
      <c r="D97" s="7" t="s">
        <v>73</v>
      </c>
      <c r="E97" s="2" t="s">
        <v>12</v>
      </c>
      <c r="F97" s="4">
        <f>PROJECT_START+49</f>
        <v>46089</v>
      </c>
      <c r="G97" s="4">
        <f t="shared" si="2"/>
        <v>46089</v>
      </c>
      <c r="H97" s="2">
        <f>DUR_UL</f>
        <v>0</v>
      </c>
      <c r="I97" s="2"/>
    </row>
    <row r="98" spans="1:9" x14ac:dyDescent="0.6">
      <c r="A98" s="2" t="s">
        <v>327</v>
      </c>
      <c r="B98" s="2" t="s">
        <v>10</v>
      </c>
      <c r="C98" s="2" t="s">
        <v>196</v>
      </c>
      <c r="D98" s="7" t="s">
        <v>73</v>
      </c>
      <c r="E98" s="2" t="s">
        <v>12</v>
      </c>
      <c r="F98" s="4">
        <f>PROJECT_START+50</f>
        <v>46090</v>
      </c>
      <c r="G98" s="4">
        <f t="shared" si="2"/>
        <v>46090</v>
      </c>
      <c r="H98" s="2">
        <f>DUR_UL</f>
        <v>0</v>
      </c>
      <c r="I98" s="2"/>
    </row>
    <row r="99" spans="1:9" x14ac:dyDescent="0.6">
      <c r="A99" s="2" t="s">
        <v>328</v>
      </c>
      <c r="B99" s="2" t="s">
        <v>10</v>
      </c>
      <c r="C99" s="2" t="s">
        <v>106</v>
      </c>
      <c r="D99" s="5" t="s">
        <v>15</v>
      </c>
      <c r="E99" s="2" t="s">
        <v>12</v>
      </c>
      <c r="F99" s="4">
        <f>PROJECT_START+51</f>
        <v>46091</v>
      </c>
      <c r="G99" s="4">
        <f t="shared" si="2"/>
        <v>46091.3</v>
      </c>
      <c r="H99" s="2">
        <v>0.3</v>
      </c>
      <c r="I99" s="2"/>
    </row>
    <row r="100" spans="1:9" x14ac:dyDescent="0.6">
      <c r="A100" s="2" t="s">
        <v>329</v>
      </c>
      <c r="B100" s="2" t="s">
        <v>10</v>
      </c>
      <c r="C100" s="2" t="s">
        <v>201</v>
      </c>
      <c r="D100" s="5" t="s">
        <v>15</v>
      </c>
      <c r="E100" s="2" t="s">
        <v>12</v>
      </c>
      <c r="F100" s="4">
        <f>PROJECT_START+51</f>
        <v>46091</v>
      </c>
      <c r="G100" s="4">
        <f t="shared" si="2"/>
        <v>46091.7</v>
      </c>
      <c r="H100" s="2">
        <v>0.7</v>
      </c>
      <c r="I100" s="2"/>
    </row>
    <row r="101" spans="1:9" x14ac:dyDescent="0.6">
      <c r="A101" s="2" t="s">
        <v>330</v>
      </c>
      <c r="B101" s="2" t="s">
        <v>10</v>
      </c>
      <c r="C101" s="2" t="s">
        <v>203</v>
      </c>
      <c r="D101" s="11" t="s">
        <v>111</v>
      </c>
      <c r="E101" s="2" t="s">
        <v>12</v>
      </c>
      <c r="F101" s="4">
        <f>PROJECT_START+52</f>
        <v>46092</v>
      </c>
      <c r="G101" s="4">
        <f t="shared" si="2"/>
        <v>46092</v>
      </c>
      <c r="H101" s="2">
        <f>DUR_TURN</f>
        <v>0</v>
      </c>
      <c r="I101" s="2"/>
    </row>
    <row r="102" spans="1:9" x14ac:dyDescent="0.6">
      <c r="A102" s="12" t="s">
        <v>331</v>
      </c>
      <c r="B102" s="12" t="s">
        <v>10</v>
      </c>
      <c r="C102" s="12" t="s">
        <v>205</v>
      </c>
      <c r="D102" s="13" t="s">
        <v>114</v>
      </c>
      <c r="E102" s="12" t="s">
        <v>12</v>
      </c>
      <c r="F102" s="14">
        <f>PROJECT_START+55</f>
        <v>46095</v>
      </c>
      <c r="G102" s="14">
        <f t="shared" si="2"/>
        <v>46095</v>
      </c>
      <c r="H102" s="12">
        <f>DUR_JD</f>
        <v>0</v>
      </c>
      <c r="I102" s="12"/>
    </row>
    <row r="103" spans="1:9" x14ac:dyDescent="0.6">
      <c r="A103" s="2" t="s">
        <v>332</v>
      </c>
      <c r="B103" s="2" t="s">
        <v>10</v>
      </c>
      <c r="C103" s="2" t="s">
        <v>116</v>
      </c>
      <c r="D103" s="5" t="s">
        <v>15</v>
      </c>
      <c r="E103" s="2" t="s">
        <v>12</v>
      </c>
      <c r="F103" s="4">
        <f>PROJECT_START+55</f>
        <v>46095</v>
      </c>
      <c r="G103" s="4">
        <f t="shared" si="2"/>
        <v>46095.3</v>
      </c>
      <c r="H103" s="2">
        <v>0.3</v>
      </c>
      <c r="I103" s="2"/>
    </row>
    <row r="104" spans="1:9" x14ac:dyDescent="0.6">
      <c r="A104" s="2" t="s">
        <v>333</v>
      </c>
      <c r="B104" s="2" t="s">
        <v>10</v>
      </c>
      <c r="C104" s="2" t="s">
        <v>208</v>
      </c>
      <c r="D104" s="5" t="s">
        <v>15</v>
      </c>
      <c r="E104" s="2" t="s">
        <v>12</v>
      </c>
      <c r="F104" s="4">
        <f>PROJECT_START+55</f>
        <v>46095</v>
      </c>
      <c r="G104" s="4">
        <f t="shared" si="2"/>
        <v>46095.7</v>
      </c>
      <c r="H104" s="2">
        <v>0.7</v>
      </c>
      <c r="I104" s="2"/>
    </row>
    <row r="105" spans="1:9" x14ac:dyDescent="0.6">
      <c r="A105" s="2" t="s">
        <v>334</v>
      </c>
      <c r="B105" s="2" t="s">
        <v>10</v>
      </c>
      <c r="C105" s="2" t="s">
        <v>210</v>
      </c>
      <c r="D105" s="11" t="s">
        <v>111</v>
      </c>
      <c r="E105" s="2" t="s">
        <v>12</v>
      </c>
      <c r="F105" s="4">
        <f>PROJECT_START+56</f>
        <v>46096</v>
      </c>
      <c r="G105" s="4">
        <f t="shared" si="2"/>
        <v>46096</v>
      </c>
      <c r="H105" s="2">
        <f>DUR_TURN</f>
        <v>0</v>
      </c>
      <c r="I105" s="2"/>
    </row>
    <row r="106" spans="1:9" x14ac:dyDescent="0.6">
      <c r="A106" s="12" t="s">
        <v>335</v>
      </c>
      <c r="B106" s="12" t="s">
        <v>10</v>
      </c>
      <c r="C106" s="12" t="s">
        <v>213</v>
      </c>
      <c r="D106" s="13" t="s">
        <v>114</v>
      </c>
      <c r="E106" s="12" t="s">
        <v>12</v>
      </c>
      <c r="F106" s="14">
        <f>PROJECT_START+59</f>
        <v>46099</v>
      </c>
      <c r="G106" s="14">
        <f t="shared" si="2"/>
        <v>46099</v>
      </c>
      <c r="H106" s="12">
        <f>DUR_JD</f>
        <v>0</v>
      </c>
      <c r="I106" s="12"/>
    </row>
    <row r="107" spans="1:9" x14ac:dyDescent="0.6">
      <c r="A107" s="2" t="s">
        <v>336</v>
      </c>
      <c r="B107" s="2" t="s">
        <v>10</v>
      </c>
      <c r="C107" s="2" t="s">
        <v>274</v>
      </c>
      <c r="D107" s="5" t="s">
        <v>15</v>
      </c>
      <c r="E107" s="2" t="s">
        <v>12</v>
      </c>
      <c r="F107" s="4">
        <f>PROJECT_START+58</f>
        <v>46098</v>
      </c>
      <c r="G107" s="4">
        <f t="shared" si="2"/>
        <v>46098</v>
      </c>
      <c r="H107" s="2">
        <f>DUR_BUF</f>
        <v>0</v>
      </c>
      <c r="I107" s="2"/>
    </row>
    <row r="108" spans="1:9" x14ac:dyDescent="0.6">
      <c r="A108" s="2" t="s">
        <v>9</v>
      </c>
      <c r="B108" s="2" t="s">
        <v>10</v>
      </c>
      <c r="C108" s="2" t="s">
        <v>275</v>
      </c>
      <c r="D108" s="3" t="s">
        <v>11</v>
      </c>
      <c r="E108" s="2" t="s">
        <v>12</v>
      </c>
      <c r="F108" s="4">
        <f>PROJECT_START+59</f>
        <v>46099</v>
      </c>
      <c r="G108" s="4">
        <f t="shared" si="2"/>
        <v>46099</v>
      </c>
      <c r="H108" s="2">
        <f>DUR_MOB</f>
        <v>0</v>
      </c>
      <c r="I108" s="2"/>
    </row>
    <row r="109" spans="1:9" x14ac:dyDescent="0.6">
      <c r="A109" s="2" t="s">
        <v>9</v>
      </c>
      <c r="B109" s="2" t="s">
        <v>10</v>
      </c>
      <c r="C109" s="2" t="s">
        <v>276</v>
      </c>
      <c r="D109" s="3" t="s">
        <v>11</v>
      </c>
      <c r="E109" s="2" t="s">
        <v>12</v>
      </c>
      <c r="F109" s="4">
        <f>PROJECT_START+60</f>
        <v>46100</v>
      </c>
      <c r="G109" s="4">
        <f t="shared" si="2"/>
        <v>46100</v>
      </c>
      <c r="H109" s="2">
        <f>DUR_MOB</f>
        <v>0</v>
      </c>
      <c r="I109" s="2"/>
    </row>
    <row r="110" spans="1:9" x14ac:dyDescent="0.6">
      <c r="A110" s="2" t="s">
        <v>337</v>
      </c>
      <c r="B110" s="2" t="s">
        <v>10</v>
      </c>
      <c r="C110" s="2" t="s">
        <v>338</v>
      </c>
      <c r="D110" s="5" t="s">
        <v>15</v>
      </c>
      <c r="E110" s="2" t="s">
        <v>12</v>
      </c>
      <c r="F110" s="4">
        <f>PROJECT_START+60</f>
        <v>46100</v>
      </c>
      <c r="G110" s="4">
        <f t="shared" si="2"/>
        <v>46111</v>
      </c>
      <c r="H110" s="2">
        <v>11</v>
      </c>
      <c r="I110" s="2"/>
    </row>
    <row r="111" spans="1:9" x14ac:dyDescent="0.6">
      <c r="A111" s="2" t="s">
        <v>58</v>
      </c>
      <c r="B111" s="2" t="s">
        <v>10</v>
      </c>
      <c r="C111" s="2" t="s">
        <v>278</v>
      </c>
      <c r="D111" s="6" t="s">
        <v>60</v>
      </c>
      <c r="E111" s="2" t="s">
        <v>12</v>
      </c>
      <c r="F111" s="4">
        <f>PROJECT_START+60</f>
        <v>46100</v>
      </c>
      <c r="G111" s="4">
        <f t="shared" si="2"/>
        <v>46100</v>
      </c>
      <c r="H111" s="2">
        <f>DUR_UL</f>
        <v>0</v>
      </c>
      <c r="I111" s="2"/>
    </row>
    <row r="112" spans="1:9" x14ac:dyDescent="0.6">
      <c r="A112" s="2" t="s">
        <v>339</v>
      </c>
      <c r="B112" s="2" t="s">
        <v>10</v>
      </c>
      <c r="C112" s="2" t="s">
        <v>340</v>
      </c>
      <c r="D112" s="5" t="s">
        <v>15</v>
      </c>
      <c r="E112" s="2" t="s">
        <v>12</v>
      </c>
      <c r="F112" s="4">
        <f>PROJECT_START+60</f>
        <v>46100</v>
      </c>
      <c r="G112" s="4">
        <f t="shared" si="2"/>
        <v>46100</v>
      </c>
      <c r="H112" s="2">
        <f>DUR_BUF</f>
        <v>0</v>
      </c>
      <c r="I112" s="2"/>
    </row>
    <row r="113" spans="1:9" x14ac:dyDescent="0.6">
      <c r="A113" s="2" t="s">
        <v>341</v>
      </c>
      <c r="B113" s="2" t="s">
        <v>10</v>
      </c>
      <c r="C113" s="2" t="s">
        <v>218</v>
      </c>
      <c r="D113" s="5" t="s">
        <v>15</v>
      </c>
      <c r="E113" s="2" t="s">
        <v>12</v>
      </c>
      <c r="F113" s="4">
        <f>PROJECT_START+61</f>
        <v>46101</v>
      </c>
      <c r="G113" s="4">
        <f t="shared" si="2"/>
        <v>46101.3</v>
      </c>
      <c r="H113" s="2">
        <v>0.3</v>
      </c>
      <c r="I113" s="2"/>
    </row>
    <row r="114" spans="1:9" x14ac:dyDescent="0.6">
      <c r="A114" s="2" t="s">
        <v>342</v>
      </c>
      <c r="B114" s="2" t="s">
        <v>10</v>
      </c>
      <c r="C114" s="2" t="s">
        <v>70</v>
      </c>
      <c r="D114" s="5" t="s">
        <v>15</v>
      </c>
      <c r="E114" s="2" t="s">
        <v>12</v>
      </c>
      <c r="F114" s="4">
        <f>PROJECT_START+61</f>
        <v>46101</v>
      </c>
      <c r="G114" s="4">
        <f t="shared" si="2"/>
        <v>46101.3</v>
      </c>
      <c r="H114" s="2">
        <v>0.3</v>
      </c>
      <c r="I114" s="2"/>
    </row>
    <row r="115" spans="1:9" x14ac:dyDescent="0.6">
      <c r="A115" s="2" t="s">
        <v>343</v>
      </c>
      <c r="B115" s="2" t="s">
        <v>10</v>
      </c>
      <c r="C115" s="2" t="s">
        <v>221</v>
      </c>
      <c r="D115" s="7" t="s">
        <v>73</v>
      </c>
      <c r="E115" s="2" t="s">
        <v>12</v>
      </c>
      <c r="F115" s="4">
        <f>PROJECT_START+61</f>
        <v>46101</v>
      </c>
      <c r="G115" s="4">
        <f t="shared" si="2"/>
        <v>46101.2</v>
      </c>
      <c r="H115" s="2">
        <v>0.2</v>
      </c>
      <c r="I115" s="2"/>
    </row>
    <row r="116" spans="1:9" x14ac:dyDescent="0.6">
      <c r="A116" s="2" t="s">
        <v>344</v>
      </c>
      <c r="B116" s="2" t="s">
        <v>10</v>
      </c>
      <c r="C116" s="2" t="s">
        <v>223</v>
      </c>
      <c r="D116" s="8" t="s">
        <v>76</v>
      </c>
      <c r="E116" s="2" t="s">
        <v>12</v>
      </c>
      <c r="F116" s="4">
        <f>PROJECT_START+62</f>
        <v>46102</v>
      </c>
      <c r="G116" s="4">
        <f t="shared" si="2"/>
        <v>46102</v>
      </c>
      <c r="H116" s="2">
        <f>DUR_BUF</f>
        <v>0</v>
      </c>
      <c r="I116" s="2"/>
    </row>
    <row r="117" spans="1:9" x14ac:dyDescent="0.6">
      <c r="A117" s="2" t="s">
        <v>345</v>
      </c>
      <c r="B117" s="2" t="s">
        <v>10</v>
      </c>
      <c r="C117" s="2" t="s">
        <v>259</v>
      </c>
      <c r="D117" s="9" t="s">
        <v>91</v>
      </c>
      <c r="E117" s="2" t="s">
        <v>12</v>
      </c>
      <c r="F117" s="4">
        <f>PROJECT_START+63</f>
        <v>46103</v>
      </c>
      <c r="G117" s="4">
        <f t="shared" si="2"/>
        <v>46103</v>
      </c>
      <c r="H117" s="2">
        <f>DUR_SAIL</f>
        <v>0</v>
      </c>
      <c r="I117" s="2"/>
    </row>
    <row r="118" spans="1:9" x14ac:dyDescent="0.6">
      <c r="A118" s="2" t="s">
        <v>346</v>
      </c>
      <c r="B118" s="2" t="s">
        <v>10</v>
      </c>
      <c r="C118" s="2" t="s">
        <v>93</v>
      </c>
      <c r="D118" s="5" t="s">
        <v>15</v>
      </c>
      <c r="E118" s="2" t="s">
        <v>12</v>
      </c>
      <c r="F118" s="4">
        <f>PROJECT_START+63</f>
        <v>46103</v>
      </c>
      <c r="G118" s="4">
        <f t="shared" si="2"/>
        <v>46103</v>
      </c>
      <c r="H118" s="2">
        <f>DUR_BUF</f>
        <v>0</v>
      </c>
      <c r="I118" s="2"/>
    </row>
    <row r="119" spans="1:9" x14ac:dyDescent="0.6">
      <c r="A119" s="2" t="s">
        <v>347</v>
      </c>
      <c r="B119" s="2" t="s">
        <v>10</v>
      </c>
      <c r="C119" s="2" t="s">
        <v>95</v>
      </c>
      <c r="D119" s="10" t="s">
        <v>96</v>
      </c>
      <c r="E119" s="2" t="s">
        <v>12</v>
      </c>
      <c r="F119" s="4">
        <f>PROJECT_START+64</f>
        <v>46104</v>
      </c>
      <c r="G119" s="4">
        <f t="shared" si="2"/>
        <v>46104</v>
      </c>
      <c r="H119" s="2">
        <f>DUR_BUF</f>
        <v>0</v>
      </c>
      <c r="I119" s="2"/>
    </row>
    <row r="120" spans="1:9" x14ac:dyDescent="0.6">
      <c r="A120" s="2" t="s">
        <v>348</v>
      </c>
      <c r="B120" s="2" t="s">
        <v>10</v>
      </c>
      <c r="C120" s="2" t="s">
        <v>98</v>
      </c>
      <c r="D120" s="5" t="s">
        <v>15</v>
      </c>
      <c r="E120" s="2" t="s">
        <v>12</v>
      </c>
      <c r="F120" s="4">
        <f>PROJECT_START+64</f>
        <v>46104</v>
      </c>
      <c r="G120" s="4">
        <f t="shared" si="2"/>
        <v>46104</v>
      </c>
      <c r="H120" s="2">
        <f>DUR_BUF</f>
        <v>0</v>
      </c>
      <c r="I120" s="2"/>
    </row>
    <row r="121" spans="1:9" x14ac:dyDescent="0.6">
      <c r="A121" s="2" t="s">
        <v>349</v>
      </c>
      <c r="B121" s="2" t="s">
        <v>10</v>
      </c>
      <c r="C121" s="2" t="s">
        <v>229</v>
      </c>
      <c r="D121" s="7" t="s">
        <v>73</v>
      </c>
      <c r="E121" s="2" t="s">
        <v>12</v>
      </c>
      <c r="F121" s="4">
        <f>PROJECT_START+65</f>
        <v>46105</v>
      </c>
      <c r="G121" s="4">
        <f t="shared" si="2"/>
        <v>46105</v>
      </c>
      <c r="H121" s="2">
        <f>DUR_UL</f>
        <v>0</v>
      </c>
      <c r="I121" s="2"/>
    </row>
    <row r="122" spans="1:9" x14ac:dyDescent="0.6">
      <c r="A122" s="2" t="s">
        <v>350</v>
      </c>
      <c r="B122" s="2" t="s">
        <v>10</v>
      </c>
      <c r="C122" s="2" t="s">
        <v>106</v>
      </c>
      <c r="D122" s="5" t="s">
        <v>15</v>
      </c>
      <c r="E122" s="2" t="s">
        <v>12</v>
      </c>
      <c r="F122" s="4">
        <f>PROJECT_START+66</f>
        <v>46106</v>
      </c>
      <c r="G122" s="4">
        <f t="shared" si="2"/>
        <v>46106.3</v>
      </c>
      <c r="H122" s="2">
        <v>0.3</v>
      </c>
      <c r="I122" s="2"/>
    </row>
    <row r="123" spans="1:9" x14ac:dyDescent="0.6">
      <c r="A123" s="2" t="s">
        <v>351</v>
      </c>
      <c r="B123" s="2" t="s">
        <v>10</v>
      </c>
      <c r="C123" s="2" t="s">
        <v>233</v>
      </c>
      <c r="D123" s="5" t="s">
        <v>15</v>
      </c>
      <c r="E123" s="2" t="s">
        <v>12</v>
      </c>
      <c r="F123" s="4">
        <f>PROJECT_START+66</f>
        <v>46106</v>
      </c>
      <c r="G123" s="4">
        <f t="shared" si="2"/>
        <v>46106.7</v>
      </c>
      <c r="H123" s="2">
        <v>0.7</v>
      </c>
      <c r="I123" s="2"/>
    </row>
    <row r="124" spans="1:9" x14ac:dyDescent="0.6">
      <c r="A124" s="2" t="s">
        <v>352</v>
      </c>
      <c r="B124" s="2" t="s">
        <v>10</v>
      </c>
      <c r="C124" s="2" t="s">
        <v>235</v>
      </c>
      <c r="D124" s="11" t="s">
        <v>111</v>
      </c>
      <c r="E124" s="2" t="s">
        <v>12</v>
      </c>
      <c r="F124" s="4">
        <f>PROJECT_START+67</f>
        <v>46107</v>
      </c>
      <c r="G124" s="4">
        <f t="shared" si="2"/>
        <v>46107</v>
      </c>
      <c r="H124" s="2">
        <f>DUR_TURN</f>
        <v>0</v>
      </c>
      <c r="I124" s="2"/>
    </row>
    <row r="125" spans="1:9" x14ac:dyDescent="0.6">
      <c r="A125" s="12" t="s">
        <v>353</v>
      </c>
      <c r="B125" s="12" t="s">
        <v>10</v>
      </c>
      <c r="C125" s="12" t="s">
        <v>237</v>
      </c>
      <c r="D125" s="13" t="s">
        <v>114</v>
      </c>
      <c r="E125" s="12" t="s">
        <v>12</v>
      </c>
      <c r="F125" s="14">
        <f>PROJECT_START+70</f>
        <v>46110</v>
      </c>
      <c r="G125" s="14">
        <f t="shared" si="2"/>
        <v>46110</v>
      </c>
      <c r="H125" s="12">
        <f>DUR_JD</f>
        <v>0</v>
      </c>
      <c r="I125" s="12"/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Schedule_Data_Option_A</vt:lpstr>
      <vt:lpstr>Schedule_Data_Option_B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민규 차</dc:creator>
  <cp:lastModifiedBy>민규 차</cp:lastModifiedBy>
  <dcterms:created xsi:type="dcterms:W3CDTF">2026-01-16T18:07:11Z</dcterms:created>
  <dcterms:modified xsi:type="dcterms:W3CDTF">2026-01-16T18:19:59Z</dcterms:modified>
</cp:coreProperties>
</file>